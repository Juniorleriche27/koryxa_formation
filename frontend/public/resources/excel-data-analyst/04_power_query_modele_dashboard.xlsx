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éférentiels" sheetId="2" state="visible" r:id="rId2"/>
    <sheet xmlns:r="http://schemas.openxmlformats.org/officeDocument/2006/relationships" name="Power_Query_M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FCFA&quot;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A86B"/>
      <sz val="9"/>
    </font>
    <font>
      <name val="Calibri"/>
      <b val="1"/>
      <color rgb="000F172A"/>
      <sz val="13"/>
    </font>
    <font>
      <name val="Calibri"/>
      <i val="1"/>
      <color rgb="0064748B"/>
      <sz val="8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1E293B"/>
      <sz val="11"/>
    </font>
    <font>
      <name val="Calibri"/>
      <b val="1"/>
      <color rgb="0000A86B"/>
      <sz val="10"/>
    </font>
    <font>
      <name val="Calibri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00A86B"/>
        <bgColor rgb="0000A86B"/>
      </patternFill>
    </fill>
    <fill>
      <patternFill patternType="solid">
        <fgColor rgb="00ECFDF5"/>
        <bgColor rgb="00ECFDF5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4" borderId="0" pivotButton="0" quotePrefix="0" xfId="0"/>
    <xf numFmtId="0" fontId="6" fillId="5" borderId="1" pivotButton="0" quotePrefix="0" xfId="0"/>
    <xf numFmtId="0" fontId="8" fillId="0" borderId="0" pivotButton="0" quotePrefix="0" xfId="0"/>
    <xf numFmtId="0" fontId="7" fillId="6" borderId="1" pivotButton="0" quotePrefix="0" xfId="0"/>
    <xf numFmtId="164" fontId="7" fillId="6" borderId="1" pivotButton="0" quotePrefix="0" xfId="0"/>
    <xf numFmtId="165" fontId="7" fillId="6" borderId="1" pivotButton="0" quotePrefix="0" xfId="0"/>
    <xf numFmtId="0" fontId="9" fillId="0" borderId="0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6" fillId="2" borderId="1" pivotButton="0" quotePrefix="0" xfId="0"/>
    <xf numFmtId="0" fontId="1" fillId="2" borderId="0" pivotButton="0" quotePrefix="0" xfId="0"/>
    <xf numFmtId="0" fontId="5" fillId="4" borderId="1" pivotButton="0" quotePrefix="0" xfId="0"/>
    <xf numFmtId="0" fontId="1" fillId="4" borderId="0" pivotButton="0" quotePrefix="0" xfId="0"/>
    <xf numFmtId="0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57" customWidth="1" min="1" max="1"/>
    <col width="36" customWidth="1" min="2" max="2"/>
    <col width="24" customWidth="1" min="3" max="3"/>
    <col width="23" customWidth="1" min="4" max="4"/>
    <col width="16" customWidth="1" min="5" max="5"/>
    <col width="26" customWidth="1" min="6" max="6"/>
    <col width="12" customWidth="1" min="7" max="7"/>
    <col width="67" customWidth="1" min="8" max="8"/>
    <col width="12" customWidth="1" min="9" max="9"/>
    <col width="24" customWidth="1" min="10" max="10"/>
    <col width="12" customWidth="1" min="11" max="11"/>
    <col width="12" customWidth="1" min="12" max="12"/>
  </cols>
  <sheetData>
    <row r="1" ht="40" customHeight="1">
      <c r="A1" s="1" t="inlineStr">
        <is>
          <t>TABLEAU DE BORD COMMERCIAL EXÉCUTIF — KORYXA FORMATION</t>
        </is>
      </c>
    </row>
    <row r="2"/>
    <row r="3">
      <c r="B3" s="2" t="inlineStr">
        <is>
          <t>CHIFFRE D'AFFAIRES</t>
        </is>
      </c>
      <c r="D3" s="2" t="inlineStr">
        <is>
          <t>TAUX DE RECOUVREMENT</t>
        </is>
      </c>
      <c r="F3" s="2" t="inlineStr">
        <is>
          <t>COMMANDES VALIDÉES</t>
        </is>
      </c>
      <c r="H3" s="2" t="inlineStr">
        <is>
          <t>PANIER MOYEN</t>
        </is>
      </c>
      <c r="J3" s="2" t="inlineStr">
        <is>
          <t>MARGE COMMERCIALE</t>
        </is>
      </c>
    </row>
    <row r="4">
      <c r="B4" s="3" t="inlineStr">
        <is>
          <t>104 116 298 FCFA</t>
        </is>
      </c>
      <c r="D4" s="3" t="inlineStr">
        <is>
          <t>83.5 %</t>
        </is>
      </c>
      <c r="F4" s="3" t="inlineStr">
        <is>
          <t>2 338</t>
        </is>
      </c>
      <c r="H4" s="3" t="inlineStr">
        <is>
          <t>44 532 FCFA</t>
        </is>
      </c>
      <c r="J4" s="3" t="inlineStr">
        <is>
          <t>31 234 890 FCFA</t>
        </is>
      </c>
    </row>
    <row r="5">
      <c r="B5" s="4" t="inlineStr">
        <is>
          <t>+18.4% vs N-1</t>
        </is>
      </c>
      <c r="D5" s="4" t="inlineStr">
        <is>
          <t>Objectif : 80.0%</t>
        </is>
      </c>
      <c r="F5" s="4" t="inlineStr">
        <is>
          <t>Inscriptions certifiées</t>
        </is>
      </c>
      <c r="H5" s="4" t="inlineStr">
        <is>
          <t>Segment Standard</t>
        </is>
      </c>
      <c r="J5" s="4" t="inlineStr">
        <is>
          <t>Taux de marge : 30.0%</t>
        </is>
      </c>
    </row>
    <row r="6"/>
    <row r="7">
      <c r="B7" s="5" t="inlineStr">
        <is>
          <t>PERFORMANCE PAR ZONE GÉOGRAPHIQUE</t>
        </is>
      </c>
      <c r="H7" s="5" t="inlineStr">
        <is>
          <t>OBSERVATIONS &amp; RECOMMANDATIONS COMITÉ</t>
        </is>
      </c>
    </row>
    <row r="8">
      <c r="B8" s="6" t="inlineStr">
        <is>
          <t>Code</t>
        </is>
      </c>
      <c r="C8" s="6" t="inlineStr">
        <is>
          <t>Zone / Région</t>
        </is>
      </c>
      <c r="D8" s="6" t="inlineStr">
        <is>
          <t>Responsable</t>
        </is>
      </c>
      <c r="E8" s="6" t="inlineStr">
        <is>
          <t>CA Encaissé</t>
        </is>
      </c>
      <c r="F8" s="6" t="inlineStr">
        <is>
          <t>Poids %</t>
        </is>
      </c>
      <c r="H8" s="7" t="inlineStr">
        <is>
          <t>1. Zone Nord en tête</t>
        </is>
      </c>
    </row>
    <row r="9">
      <c r="B9" s="8" t="inlineStr">
        <is>
          <t>N</t>
        </is>
      </c>
      <c r="C9" s="8" t="inlineStr">
        <is>
          <t>Nord (Sénégal / Mali)</t>
        </is>
      </c>
      <c r="D9" s="8" t="inlineStr">
        <is>
          <t>Awa Diallo</t>
        </is>
      </c>
      <c r="E9" s="9" t="n">
        <v>34500000</v>
      </c>
      <c r="F9" s="10" t="n">
        <v>0.331</v>
      </c>
      <c r="H9" s="11" t="inlineStr">
        <is>
          <t>Le Sénégal porte 33% du volume grâce à la pénétration de Wave.</t>
        </is>
      </c>
    </row>
    <row r="10">
      <c r="B10" s="12" t="inlineStr">
        <is>
          <t>S</t>
        </is>
      </c>
      <c r="C10" s="12" t="inlineStr">
        <is>
          <t>Sud (Côte d'Ivoire)</t>
        </is>
      </c>
      <c r="D10" s="12" t="inlineStr">
        <is>
          <t>Moussa Traoré</t>
        </is>
      </c>
      <c r="E10" s="13" t="n">
        <v>28900000</v>
      </c>
      <c r="F10" s="14" t="n">
        <v>0.278</v>
      </c>
      <c r="H10" s="7" t="inlineStr">
        <is>
          <t>2. Potentiel Côte d'Ivoire</t>
        </is>
      </c>
    </row>
    <row r="11">
      <c r="B11" s="8" t="inlineStr">
        <is>
          <t>C</t>
        </is>
      </c>
      <c r="C11" s="8" t="inlineStr">
        <is>
          <t>Centre (Togo / Bénin)</t>
        </is>
      </c>
      <c r="D11" s="8" t="inlineStr">
        <is>
          <t>Idrissa Mensah</t>
        </is>
      </c>
      <c r="E11" s="9" t="n">
        <v>18200000</v>
      </c>
      <c r="F11" s="10" t="n">
        <v>0.175</v>
      </c>
      <c r="H11" s="11" t="inlineStr">
        <is>
          <t>Accélérer l'intégration directe Orange Money et MTN à Abidjan.</t>
        </is>
      </c>
    </row>
    <row r="12">
      <c r="B12" s="12" t="inlineStr">
        <is>
          <t>O</t>
        </is>
      </c>
      <c r="C12" s="12" t="inlineStr">
        <is>
          <t>Ouest (Burkina Faso)</t>
        </is>
      </c>
      <c r="D12" s="12" t="inlineStr">
        <is>
          <t>Fatou Camara</t>
        </is>
      </c>
      <c r="E12" s="13" t="n">
        <v>13800000</v>
      </c>
      <c r="F12" s="14" t="n">
        <v>0.133</v>
      </c>
      <c r="H12" s="7" t="inlineStr">
        <is>
          <t>3. Relances Paniers</t>
        </is>
      </c>
    </row>
    <row r="13">
      <c r="B13" s="8" t="inlineStr">
        <is>
          <t>E</t>
        </is>
      </c>
      <c r="C13" s="8" t="inlineStr">
        <is>
          <t>Export (Diaspora)</t>
        </is>
      </c>
      <c r="D13" s="8" t="inlineStr">
        <is>
          <t>Jean Kouamé</t>
        </is>
      </c>
      <c r="E13" s="9" t="n">
        <v>8716298</v>
      </c>
      <c r="F13" s="10" t="n">
        <v>0.083</v>
      </c>
      <c r="H13" s="11" t="inlineStr">
        <is>
          <t>20M FCFA de commandes en attente à automatiser via WhatsApp.</t>
        </is>
      </c>
    </row>
    <row r="14">
      <c r="H14" s="7" t="inlineStr">
        <is>
          <t>4. Montée en gamme</t>
        </is>
      </c>
    </row>
    <row r="15">
      <c r="H15" s="11" t="inlineStr">
        <is>
          <t>Les formations avancées à 69k FCFA affichent la meilleure marge.</t>
        </is>
      </c>
    </row>
  </sheetData>
  <mergeCells count="26">
    <mergeCell ref="F4:G4"/>
    <mergeCell ref="B7:F7"/>
    <mergeCell ref="H13:K13"/>
    <mergeCell ref="J5:K5"/>
    <mergeCell ref="B3:C3"/>
    <mergeCell ref="H12:K12"/>
    <mergeCell ref="H4:I4"/>
    <mergeCell ref="H15:K15"/>
    <mergeCell ref="A1:K1"/>
    <mergeCell ref="F3:G3"/>
    <mergeCell ref="H14:K14"/>
    <mergeCell ref="H8:K8"/>
    <mergeCell ref="F5:G5"/>
    <mergeCell ref="H10:K10"/>
    <mergeCell ref="J4:K4"/>
    <mergeCell ref="H9:K9"/>
    <mergeCell ref="D4:E4"/>
    <mergeCell ref="D3:E3"/>
    <mergeCell ref="H3:I3"/>
    <mergeCell ref="J3:K3"/>
    <mergeCell ref="B5:C5"/>
    <mergeCell ref="H11:K11"/>
    <mergeCell ref="D5:E5"/>
    <mergeCell ref="H5:I5"/>
    <mergeCell ref="H7:K7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14" customWidth="1" min="3" max="3"/>
    <col width="12" customWidth="1" min="4" max="4"/>
    <col width="36" customWidth="1" min="5" max="5"/>
    <col width="12" customWidth="1" min="6" max="6"/>
    <col width="27" customWidth="1" min="7" max="7"/>
    <col width="12" customWidth="1" min="8" max="8"/>
  </cols>
  <sheetData>
    <row r="1">
      <c r="A1" s="5" t="inlineStr">
        <is>
          <t>RÉFÉRENTIEL PRODUITS (DIM_PRODUITS)</t>
        </is>
      </c>
      <c r="E1" s="5" t="inlineStr">
        <is>
          <t>RÉFÉRENTIEL RÉGIONS (DIM_REGIONS)</t>
        </is>
      </c>
    </row>
    <row r="2"/>
    <row r="3">
      <c r="A3" s="15" t="inlineStr">
        <is>
          <t>Code produit</t>
        </is>
      </c>
      <c r="B3" s="15" t="inlineStr">
        <is>
          <t>Produit</t>
        </is>
      </c>
      <c r="C3" s="15" t="inlineStr">
        <is>
          <t>Catégorie</t>
        </is>
      </c>
      <c r="E3" s="15" t="inlineStr">
        <is>
          <t>Code région</t>
        </is>
      </c>
      <c r="F3" s="15" t="inlineStr">
        <is>
          <t>Région</t>
        </is>
      </c>
      <c r="G3" s="15" t="inlineStr">
        <is>
          <t>Pays Associés</t>
        </is>
      </c>
    </row>
    <row r="4">
      <c r="A4" s="12" t="inlineStr">
        <is>
          <t>P001</t>
        </is>
      </c>
      <c r="B4" s="12" t="inlineStr">
        <is>
          <t>Clavier Professionnel</t>
        </is>
      </c>
      <c r="C4" s="12" t="inlineStr">
        <is>
          <t>Accessoires</t>
        </is>
      </c>
      <c r="E4" s="12" t="inlineStr">
        <is>
          <t>N</t>
        </is>
      </c>
      <c r="F4" s="12" t="inlineStr">
        <is>
          <t>Nord</t>
        </is>
      </c>
      <c r="G4" s="12" t="inlineStr">
        <is>
          <t>Sénégal / Mali</t>
        </is>
      </c>
    </row>
    <row r="5">
      <c r="A5" s="12" t="inlineStr">
        <is>
          <t>P002</t>
        </is>
      </c>
      <c r="B5" s="12" t="inlineStr">
        <is>
          <t>Souris Ergonomique</t>
        </is>
      </c>
      <c r="C5" s="12" t="inlineStr">
        <is>
          <t>Accessoires</t>
        </is>
      </c>
      <c r="E5" s="12" t="inlineStr">
        <is>
          <t>S</t>
        </is>
      </c>
      <c r="F5" s="12" t="inlineStr">
        <is>
          <t>Sud</t>
        </is>
      </c>
      <c r="G5" s="12" t="inlineStr">
        <is>
          <t>Côte d'Ivoire</t>
        </is>
      </c>
    </row>
    <row r="6">
      <c r="A6" s="12" t="inlineStr">
        <is>
          <t>P003</t>
        </is>
      </c>
      <c r="B6" s="12" t="inlineStr">
        <is>
          <t>Écran 27 pouces 4K</t>
        </is>
      </c>
      <c r="C6" s="12" t="inlineStr">
        <is>
          <t>Matériel</t>
        </is>
      </c>
      <c r="E6" s="12" t="inlineStr">
        <is>
          <t>C</t>
        </is>
      </c>
      <c r="F6" s="12" t="inlineStr">
        <is>
          <t>Centre</t>
        </is>
      </c>
      <c r="G6" s="12" t="inlineStr">
        <is>
          <t>Togo / Bénin</t>
        </is>
      </c>
    </row>
    <row r="7">
      <c r="A7" s="12" t="inlineStr">
        <is>
          <t>P004</t>
        </is>
      </c>
      <c r="B7" s="12" t="inlineStr">
        <is>
          <t>Casque Réduction Bruit</t>
        </is>
      </c>
      <c r="C7" s="12" t="inlineStr">
        <is>
          <t>Audio</t>
        </is>
      </c>
      <c r="E7" s="12" t="inlineStr">
        <is>
          <t>O</t>
        </is>
      </c>
      <c r="F7" s="12" t="inlineStr">
        <is>
          <t>Ouest</t>
        </is>
      </c>
      <c r="G7" s="12" t="inlineStr">
        <is>
          <t>Burkina Faso / Guinée</t>
        </is>
      </c>
    </row>
    <row r="8">
      <c r="A8" s="12" t="inlineStr">
        <is>
          <t>P005</t>
        </is>
      </c>
      <c r="B8" s="12" t="inlineStr">
        <is>
          <t>Station USB-C Universelle</t>
        </is>
      </c>
      <c r="C8" s="12" t="inlineStr">
        <is>
          <t>Connectique</t>
        </is>
      </c>
      <c r="E8" s="12" t="inlineStr">
        <is>
          <t>E</t>
        </is>
      </c>
      <c r="F8" s="12" t="inlineStr">
        <is>
          <t>Export</t>
        </is>
      </c>
      <c r="G8" s="12" t="inlineStr">
        <is>
          <t>International / Diaspora</t>
        </is>
      </c>
    </row>
    <row r="9">
      <c r="A9" s="12" t="inlineStr">
        <is>
          <t>P006</t>
        </is>
      </c>
      <c r="B9" s="12" t="inlineStr">
        <is>
          <t>Support Ventilateur PC</t>
        </is>
      </c>
      <c r="C9" s="12" t="inlineStr">
        <is>
          <t>Accessoires</t>
        </is>
      </c>
    </row>
    <row r="10">
      <c r="A10" s="12" t="inlineStr">
        <is>
          <t>P007</t>
        </is>
      </c>
      <c r="B10" s="12" t="inlineStr">
        <is>
          <t>Webcam Full HD Pro</t>
        </is>
      </c>
      <c r="C10" s="12" t="inlineStr">
        <is>
          <t>Audio/Vidéo</t>
        </is>
      </c>
    </row>
    <row r="11">
      <c r="A11" s="12" t="inlineStr">
        <is>
          <t>P008</t>
        </is>
      </c>
      <c r="B11" s="12" t="inlineStr">
        <is>
          <t>Câble HDMI 4K Renforcé</t>
        </is>
      </c>
      <c r="C11" s="12" t="inlineStr">
        <is>
          <t>Connectique</t>
        </is>
      </c>
    </row>
  </sheetData>
  <mergeCells count="2">
    <mergeCell ref="A1:C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1" customWidth="1" min="1" max="1"/>
    <col width="29" customWidth="1" min="2" max="2"/>
    <col width="84" customWidth="1" min="3" max="3"/>
    <col width="55" customWidth="1" min="4" max="4"/>
    <col width="12" customWidth="1" min="5" max="5"/>
  </cols>
  <sheetData>
    <row r="1">
      <c r="A1" s="16" t="inlineStr">
        <is>
          <t>PIPELINE POWER QUERY — CONSOLIDATION DE DOSSIER &amp; ÉTAPES M</t>
        </is>
      </c>
    </row>
    <row r="2"/>
    <row r="3">
      <c r="A3" s="17" t="inlineStr">
        <is>
          <t>Étape N°</t>
        </is>
      </c>
      <c r="B3" s="17" t="inlineStr">
        <is>
          <t>Nom de l'étape Power Query</t>
        </is>
      </c>
      <c r="C3" s="17" t="inlineStr">
        <is>
          <t>Code M ou Action Interface</t>
        </is>
      </c>
      <c r="D3" s="17" t="inlineStr">
        <is>
          <t>Rôle Métier</t>
        </is>
      </c>
    </row>
    <row r="4">
      <c r="A4" s="12" t="inlineStr">
        <is>
          <t>1</t>
        </is>
      </c>
      <c r="B4" s="12" t="inlineStr">
        <is>
          <t>Source</t>
        </is>
      </c>
      <c r="C4" s="12">
        <f> Folder.Files("C:\Dossier_Ventes")</f>
        <v/>
      </c>
      <c r="D4" s="12" t="inlineStr">
        <is>
          <t>Se connecter au dossier contenant les 4 CSV mensuels</t>
        </is>
      </c>
    </row>
    <row r="5">
      <c r="A5" s="8" t="inlineStr">
        <is>
          <t>2</t>
        </is>
      </c>
      <c r="B5" s="8" t="inlineStr">
        <is>
          <t>FichiersMasques</t>
        </is>
      </c>
      <c r="C5" s="8">
        <f> Table.SelectRows(Source, each [Extension] = ".csv")</f>
        <v/>
      </c>
      <c r="D5" s="8" t="inlineStr">
        <is>
          <t>Filtrer pour ignorer les fichiers temporaires</t>
        </is>
      </c>
    </row>
    <row r="6">
      <c r="A6" s="12" t="inlineStr">
        <is>
          <t>3</t>
        </is>
      </c>
      <c r="B6" s="12" t="inlineStr">
        <is>
          <t>ContenuCombine</t>
        </is>
      </c>
      <c r="C6" s="12">
        <f> Table.TransformColumns(FichiersMasques, {{"Data", Csv.Document}})</f>
        <v/>
      </c>
      <c r="D6" s="12" t="inlineStr">
        <is>
          <t>Lire le contenu délimité par des points-virgules</t>
        </is>
      </c>
    </row>
    <row r="7">
      <c r="A7" s="8" t="inlineStr">
        <is>
          <t>4</t>
        </is>
      </c>
      <c r="B7" s="8" t="inlineStr">
        <is>
          <t>EnTetesPromues</t>
        </is>
      </c>
      <c r="C7" s="8">
        <f> Table.PromoteHeaders(TableCombinee)</f>
        <v/>
      </c>
      <c r="D7" s="8" t="inlineStr">
        <is>
          <t>Transformer la première ligne en en-têtes réelles</t>
        </is>
      </c>
    </row>
    <row r="8">
      <c r="A8" s="12" t="inlineStr">
        <is>
          <t>5</t>
        </is>
      </c>
      <c r="B8" s="12" t="inlineStr">
        <is>
          <t>TypeModifie</t>
        </is>
      </c>
      <c r="C8" s="12">
        <f> Table.TransformColumnTypes(..., {{"date", type date}, {"montant", Int64.Type}})</f>
        <v/>
      </c>
      <c r="D8" s="12" t="inlineStr">
        <is>
          <t>Forcer le typage strict pour calculs fiables</t>
        </is>
      </c>
    </row>
    <row r="9">
      <c r="A9" s="8" t="inlineStr">
        <is>
          <t>6</t>
        </is>
      </c>
      <c r="B9" s="8" t="inlineStr">
        <is>
          <t>ColonnePersonnalisee</t>
        </is>
      </c>
      <c r="C9" s="8">
        <f> Table.AddColumn(..., "CA_Net", each [quantite] * [prix_unitaire])</f>
        <v/>
      </c>
      <c r="D9" s="8" t="inlineStr">
        <is>
          <t>Créer la colonne calculée de chiffre d'affaires</t>
        </is>
      </c>
    </row>
    <row r="10">
      <c r="A10" s="12" t="inlineStr">
        <is>
          <t>7</t>
        </is>
      </c>
      <c r="B10" s="12" t="inlineStr">
        <is>
          <t>JointureReferentiel</t>
        </is>
      </c>
      <c r="C10" s="12">
        <f> Table.NestedJoin(..., "code_produit", Produits, "Code")</f>
        <v/>
      </c>
      <c r="D10" s="12" t="inlineStr">
        <is>
          <t>Enrichir la table avec le libellé et la catégorie</t>
        </is>
      </c>
    </row>
    <row r="11">
      <c r="A11" s="8" t="inlineStr">
        <is>
          <t>8</t>
        </is>
      </c>
      <c r="B11" s="8" t="inlineStr">
        <is>
          <t>FermerEtCharger</t>
        </is>
      </c>
      <c r="C11" s="8" t="inlineStr">
        <is>
          <t>Fermer &amp; Charger dans le Modèle de données</t>
        </is>
      </c>
      <c r="D11" s="8" t="inlineStr">
        <is>
          <t>Alimenter Power Pivot et les tableaux croisés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1" customWidth="1" min="1" max="1"/>
    <col width="59" customWidth="1" min="2" max="2"/>
    <col width="57" customWidth="1" min="3" max="3"/>
    <col width="12" customWidth="1" min="4" max="4"/>
  </cols>
  <sheetData>
    <row r="1">
      <c r="A1" s="18" t="inlineStr">
        <is>
          <t>PROJET FINAL — DASHBOARD COMMERCIAL ACTUALISABLE</t>
        </is>
      </c>
    </row>
    <row r="2"/>
    <row r="3">
      <c r="A3" s="19" t="inlineStr">
        <is>
          <t>Jalon</t>
        </is>
      </c>
      <c r="B3" s="19" t="inlineStr">
        <is>
          <t>Travail Attendu</t>
        </is>
      </c>
      <c r="C3" s="19" t="inlineStr">
        <is>
          <t>Critère de Validation</t>
        </is>
      </c>
    </row>
    <row r="4">
      <c r="A4" s="12" t="inlineStr">
        <is>
          <t>1</t>
        </is>
      </c>
      <c r="B4" s="12" t="inlineStr">
        <is>
          <t>Consolider les 4 fichiers CSV mensuels via Power Query</t>
        </is>
      </c>
      <c r="C4" s="12" t="inlineStr">
        <is>
          <t>Pipeline actualisable en 1 clic sans copier-coller</t>
        </is>
      </c>
    </row>
    <row r="5">
      <c r="A5" s="8" t="inlineStr">
        <is>
          <t>2</t>
        </is>
      </c>
      <c r="B5" s="8" t="inlineStr">
        <is>
          <t>Relier les tables dans le modèle relationnel Power Pivot</t>
        </is>
      </c>
      <c r="C5" s="8" t="inlineStr">
        <is>
          <t>Schéma en étoile avec relations 1 à plusieurs actives</t>
        </is>
      </c>
    </row>
    <row r="6">
      <c r="A6" s="12" t="inlineStr">
        <is>
          <t>3</t>
        </is>
      </c>
      <c r="B6" s="12" t="inlineStr">
        <is>
          <t>Créer 5 mesures DAX fondamentales</t>
        </is>
      </c>
      <c r="C6" s="12" t="inlineStr">
        <is>
          <t>CA Encaissé, Marge %, Panier Moyen, Taux Atteinte</t>
        </is>
      </c>
    </row>
    <row r="7">
      <c r="A7" s="8" t="inlineStr">
        <is>
          <t>4</t>
        </is>
      </c>
      <c r="B7" s="8" t="inlineStr">
        <is>
          <t>Construire le Dashboard commercial interactif</t>
        </is>
      </c>
      <c r="C7" s="8" t="inlineStr">
        <is>
          <t>Segments connectés par Région et Commercial, carte KPI</t>
        </is>
      </c>
    </row>
    <row r="8">
      <c r="A8" s="12" t="inlineStr">
        <is>
          <t>5</t>
        </is>
      </c>
      <c r="B8" s="12" t="inlineStr">
        <is>
          <t>Auditer la robustesse et protéger les formules</t>
        </is>
      </c>
      <c r="C8" s="12" t="inlineStr">
        <is>
          <t>Classeur propre prêt pour présentation devant le CODIR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2026-10-10T16:06:15Z</dcterms:created>
  <dcterms:modified xmlns:dcterms="http://purl.org/dc/terms/" xmlns:xsi="http://www.w3.org/2001/XMLSchema-instance" xsi:type="dcterms:W3CDTF">2026-10-10T16:06:15Z</dcterms:modified>
</cp:coreProperties>
</file>