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entes" sheetId="1" r:id="rId1"/>
    <sheet name="Produits" sheetId="2" r:id="rId2"/>
    <sheet name="KPI" sheetId="3" r:id="rId3"/>
  </sheets>
  <calcPr calcId="191029" fullCalcOnLoad="1" forceFullCalc="1"/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color rgb="FFFFFFFF"/>
      <sz val="16"/>
      <name val="Calibri"/>
    </font>
    <font>
      <b/>
      <color rgb="FF06251C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251C"/>
        <bgColor indexed="64"/>
      </patternFill>
    </fill>
    <fill>
      <patternFill patternType="solid">
        <fgColor rgb="FF00BD72"/>
        <bgColor indexed="64"/>
      </patternFill>
    </fill>
  </fills>
  <borders count="2">
    <border/>
    <border>
      <left/>
      <right/>
      <top/>
      <bottom style="thin">
        <color rgb="FF0F513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3" borderId="1" xfId="0" applyFont="1" applyFill="1" applyBorder="1"/>
    <xf numFmtId="14" fontId="0" fillId="0" borderId="0" xfId="0" applyNumberFormat="1"/>
    <xf numFmtId="164" fontId="0" fillId="0" borderId="0" xfId="0" applyNumberFormat="1"/>
  </cellXfs>
  <numFmts count="1">
    <numFmt numFmtId="164" formatCode="# ##0 &quot;FCFA&quot;"/>
  </numFmt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G9"/>
  <sheetViews>
    <sheetView workbookViewId="0">
      <pane ySplit="3" topLeftCell="A4" activePane="bottomLeft" state="frozen"/>
    </sheetView>
  </sheetViews>
  <sheetFormatPr defaultRowHeight="15"/>
  <cols>
    <col min="1" max="1" width="14" customWidth="1"/>
    <col min="2" max="2" width="12" customWidth="1"/>
    <col min="3" max="3" width="12" customWidth="1"/>
    <col min="4" max="4" width="14" customWidth="1"/>
    <col min="5" max="5" width="10" customWidth="1"/>
    <col min="6" max="6" width="16" customWidth="1"/>
    <col min="7" max="7" width="16" customWidth="1"/>
  </cols>
  <sheetData>
    <row r="1" ht="30" customHeight="1">
      <c r="A1" s="1" t="inlineStr">
        <is>
          <t>KORYXA — Recherches et KPI</t>
        </is>
      </c>
      <c r="B1" s="1"/>
      <c r="C1" s="1"/>
      <c r="D1" s="1"/>
      <c r="E1" s="1"/>
      <c r="F1" s="1"/>
      <c r="G1" s="1"/>
    </row>
    <row r="2">
      <c r="A2" s="0"/>
      <c r="B2" s="0"/>
      <c r="C2" s="0"/>
      <c r="D2" s="0"/>
      <c r="E2" s="0"/>
      <c r="F2" s="0"/>
      <c r="G2" s="0"/>
    </row>
    <row r="3">
      <c r="A3" s="2" t="inlineStr">
        <is>
          <t>Code produit</t>
        </is>
      </c>
      <c r="B3" s="2" t="inlineStr">
        <is>
          <t>Date</t>
        </is>
      </c>
      <c r="C3" s="2" t="inlineStr">
        <is>
          <t>Région</t>
        </is>
      </c>
      <c r="D3" s="2" t="inlineStr">
        <is>
          <t>Commercial</t>
        </is>
      </c>
      <c r="E3" s="2" t="inlineStr">
        <is>
          <t>Quantité</t>
        </is>
      </c>
      <c r="F3" s="2" t="inlineStr">
        <is>
          <t>Prix</t>
        </is>
      </c>
      <c r="G3" s="2" t="inlineStr">
        <is>
          <t>CA</t>
        </is>
      </c>
    </row>
    <row r="4">
      <c r="A4" s="0" t="inlineStr">
        <is>
          <t>P001</t>
        </is>
      </c>
      <c r="B4" s="3">
        <v>46054</v>
      </c>
      <c r="C4" s="0" t="inlineStr">
        <is>
          <t>Nord</t>
        </is>
      </c>
      <c r="D4" s="0" t="inlineStr">
        <is>
          <t>Awa</t>
        </is>
      </c>
      <c r="E4" s="0">
        <v>4</v>
      </c>
      <c r="F4" s="0">
        <f>XLOOKUP(A4,Produits!A$4:A$8,Produits!C$4:C$8,"Code inconnu")</f>
        <v>0</v>
      </c>
      <c r="G4" s="0">
        <f>IFERROR(E4*F4,0)</f>
        <v>0</v>
      </c>
    </row>
    <row r="5">
      <c r="A5" s="0" t="inlineStr">
        <is>
          <t>P003</t>
        </is>
      </c>
      <c r="B5" s="3">
        <v>46055</v>
      </c>
      <c r="C5" s="0" t="inlineStr">
        <is>
          <t>Sud</t>
        </is>
      </c>
      <c r="D5" s="0" t="inlineStr">
        <is>
          <t>Moussa</t>
        </is>
      </c>
      <c r="E5" s="0">
        <v>2</v>
      </c>
      <c r="F5" s="0">
        <f>XLOOKUP(A5,Produits!A$4:A$8,Produits!C$4:C$8,"Code inconnu")</f>
        <v>0</v>
      </c>
      <c r="G5" s="0">
        <f>IFERROR(E5*F5,0)</f>
        <v>0</v>
      </c>
    </row>
    <row r="6">
      <c r="A6" s="0" t="inlineStr">
        <is>
          <t>P002</t>
        </is>
      </c>
      <c r="B6" s="3">
        <v>46057</v>
      </c>
      <c r="C6" s="0" t="inlineStr">
        <is>
          <t>Nord</t>
        </is>
      </c>
      <c r="D6" s="0" t="inlineStr">
        <is>
          <t>Awa</t>
        </is>
      </c>
      <c r="E6" s="0">
        <v>8</v>
      </c>
      <c r="F6" s="0">
        <f>XLOOKUP(A6,Produits!A$4:A$8,Produits!C$4:C$8,"Code inconnu")</f>
        <v>0</v>
      </c>
      <c r="G6" s="0">
        <f>IFERROR(E6*F6,0)</f>
        <v>0</v>
      </c>
    </row>
    <row r="7">
      <c r="A7" s="0" t="inlineStr">
        <is>
          <t>P004</t>
        </is>
      </c>
      <c r="B7" s="3">
        <v>46058</v>
      </c>
      <c r="C7" s="0" t="inlineStr">
        <is>
          <t>Centre</t>
        </is>
      </c>
      <c r="D7" s="0" t="inlineStr">
        <is>
          <t>Idrissa</t>
        </is>
      </c>
      <c r="E7" s="0">
        <v>3</v>
      </c>
      <c r="F7" s="0">
        <f>XLOOKUP(A7,Produits!A$4:A$8,Produits!C$4:C$8,"Code inconnu")</f>
        <v>0</v>
      </c>
      <c r="G7" s="0">
        <f>IFERROR(E7*F7,0)</f>
        <v>0</v>
      </c>
    </row>
    <row r="8">
      <c r="A8" s="0" t="inlineStr">
        <is>
          <t>P999</t>
        </is>
      </c>
      <c r="B8" s="3">
        <v>46060</v>
      </c>
      <c r="C8" s="0" t="inlineStr">
        <is>
          <t>Ouest</t>
        </is>
      </c>
      <c r="D8" s="0" t="inlineStr">
        <is>
          <t>Fatou</t>
        </is>
      </c>
      <c r="E8" s="0">
        <v>1</v>
      </c>
      <c r="F8" s="0">
        <f>XLOOKUP(A8,Produits!A$4:A$8,Produits!C$4:C$8,"Code inconnu")</f>
        <v>0</v>
      </c>
      <c r="G8" s="0">
        <f>IFERROR(E8*F8,0)</f>
        <v>0</v>
      </c>
    </row>
    <row r="9">
      <c r="A9" s="0" t="inlineStr">
        <is>
          <t>P001</t>
        </is>
      </c>
      <c r="B9" s="3">
        <v>46062</v>
      </c>
      <c r="C9" s="0" t="inlineStr">
        <is>
          <t>Sud</t>
        </is>
      </c>
      <c r="D9" s="0" t="inlineStr">
        <is>
          <t>Moussa</t>
        </is>
      </c>
      <c r="E9" s="0">
        <v>5</v>
      </c>
      <c r="F9" s="0">
        <f>XLOOKUP(A9,Produits!A$4:A$8,Produits!C$4:C$8,"Code inconnu")</f>
        <v>0</v>
      </c>
      <c r="G9" s="0">
        <f>IFERROR(E9*F9,0)</f>
        <v>0</v>
      </c>
    </row>
  </sheetData>
  <mergeCells count="1">
    <mergeCell ref="A1:G1"/>
  </mergeCells>
</worksheet>
</file>

<file path=xl/worksheets/sheet2.xml><?xml version="1.0" encoding="utf-8"?>
<worksheet xmlns="http://schemas.openxmlformats.org/spreadsheetml/2006/main">
  <dimension ref="A1:D8"/>
  <sheetViews>
    <sheetView workbookViewId="0">
      <pane ySplit="3" topLeftCell="A4" activePane="bottomLeft" state="frozen"/>
    </sheetView>
  </sheetViews>
  <sheetFormatPr defaultRowHeight="15"/>
  <cols>
    <col min="1" max="1" width="12" customWidth="1"/>
    <col min="2" max="2" width="18" customWidth="1"/>
    <col min="3" max="3" width="16" customWidth="1"/>
    <col min="4" max="4" width="16" customWidth="1"/>
  </cols>
  <sheetData>
    <row r="1" ht="30" customHeight="1">
      <c r="A1" s="1" t="inlineStr">
        <is>
          <t>Référentiel produits</t>
        </is>
      </c>
      <c r="B1" s="1"/>
      <c r="C1" s="1"/>
      <c r="D1" s="1"/>
    </row>
    <row r="2">
      <c r="A2" s="0"/>
      <c r="B2" s="0"/>
      <c r="C2" s="0"/>
      <c r="D2" s="0"/>
    </row>
    <row r="3">
      <c r="A3" s="2" t="inlineStr">
        <is>
          <t>Code</t>
        </is>
      </c>
      <c r="B3" s="2" t="inlineStr">
        <is>
          <t>Produit</t>
        </is>
      </c>
      <c r="C3" s="2" t="inlineStr">
        <is>
          <t>Prix</t>
        </is>
      </c>
      <c r="D3" s="2" t="inlineStr">
        <is>
          <t>Catégorie</t>
        </is>
      </c>
    </row>
    <row r="4">
      <c r="A4" s="0" t="inlineStr">
        <is>
          <t>P001</t>
        </is>
      </c>
      <c r="B4" s="0" t="inlineStr">
        <is>
          <t>Clavier</t>
        </is>
      </c>
      <c r="C4" s="0">
        <v>18000</v>
      </c>
      <c r="D4" s="0" t="inlineStr">
        <is>
          <t>Accessoires</t>
        </is>
      </c>
    </row>
    <row r="5">
      <c r="A5" s="0" t="inlineStr">
        <is>
          <t>P002</t>
        </is>
      </c>
      <c r="B5" s="0" t="inlineStr">
        <is>
          <t>Souris</t>
        </is>
      </c>
      <c r="C5" s="0">
        <v>9000</v>
      </c>
      <c r="D5" s="0" t="inlineStr">
        <is>
          <t>Accessoires</t>
        </is>
      </c>
    </row>
    <row r="6">
      <c r="A6" s="0" t="inlineStr">
        <is>
          <t>P003</t>
        </is>
      </c>
      <c r="B6" s="0" t="inlineStr">
        <is>
          <t>Écran</t>
        </is>
      </c>
      <c r="C6" s="0">
        <v>145000</v>
      </c>
      <c r="D6" s="0" t="inlineStr">
        <is>
          <t>Équipement</t>
        </is>
      </c>
    </row>
    <row r="7">
      <c r="A7" s="0" t="inlineStr">
        <is>
          <t>P004</t>
        </is>
      </c>
      <c r="B7" s="0" t="inlineStr">
        <is>
          <t>Dock USB-C</t>
        </is>
      </c>
      <c r="C7" s="0">
        <v>32000</v>
      </c>
      <c r="D7" s="0" t="inlineStr">
        <is>
          <t>Accessoires</t>
        </is>
      </c>
    </row>
    <row r="8">
      <c r="A8" s="0" t="inlineStr">
        <is>
          <t>P005</t>
        </is>
      </c>
      <c r="B8" s="0" t="inlineStr">
        <is>
          <t>Casque</t>
        </is>
      </c>
      <c r="C8" s="0">
        <v>24000</v>
      </c>
      <c r="D8" s="0" t="inlineStr">
        <is>
          <t>Audio</t>
        </is>
      </c>
    </row>
  </sheetData>
  <mergeCells count="1">
    <mergeCell ref="A1:D1"/>
  </mergeCells>
</worksheet>
</file>

<file path=xl/worksheets/sheet3.xml><?xml version="1.0" encoding="utf-8"?>
<worksheet xmlns="http://schemas.openxmlformats.org/spreadsheetml/2006/main">
  <dimension ref="A1:B8"/>
  <sheetViews>
    <sheetView workbookViewId="0">
      <pane ySplit="3" topLeftCell="A4" activePane="bottomLeft" state="frozen"/>
    </sheetView>
  </sheetViews>
  <sheetFormatPr defaultRowHeight="15"/>
  <cols>
    <col min="1" max="1" width="24" customWidth="1"/>
    <col min="2" max="2" width="18" customWidth="1"/>
  </cols>
  <sheetData>
    <row r="1" ht="30" customHeight="1">
      <c r="A1" s="1" t="inlineStr">
        <is>
          <t>Synthèse KPI</t>
        </is>
      </c>
      <c r="B1" s="1"/>
    </row>
    <row r="2">
      <c r="A2" s="0"/>
      <c r="B2" s="0"/>
    </row>
    <row r="3">
      <c r="A3" s="2" t="inlineStr">
        <is>
          <t>Indicateur</t>
        </is>
      </c>
      <c r="B3" s="2" t="inlineStr">
        <is>
          <t>Valeur</t>
        </is>
      </c>
    </row>
    <row r="4">
      <c r="A4" s="0" t="inlineStr">
        <is>
          <t>CA total</t>
        </is>
      </c>
      <c r="B4" s="0">
        <f>SUM(Ventes!G4:G9)</f>
        <v>0</v>
      </c>
    </row>
    <row r="5">
      <c r="A5" s="0" t="inlineStr">
        <is>
          <t>Nombre de ventes</t>
        </is>
      </c>
      <c r="B5" s="0">
        <f>COUNTIF(Ventes!G4:G9,"&gt;0")</f>
        <v>0</v>
      </c>
    </row>
    <row r="6">
      <c r="A6" s="0" t="inlineStr">
        <is>
          <t>Panier moyen</t>
        </is>
      </c>
      <c r="B6" s="0">
        <f>IFERROR(B4/B5,0)</f>
        <v>0</v>
      </c>
    </row>
    <row r="7">
      <c r="A7" s="0" t="inlineStr">
        <is>
          <t>Ventes Nord</t>
        </is>
      </c>
      <c r="B7" s="0">
        <f>COUNTIF(Ventes!C4:C9,"Nord")</f>
        <v>0</v>
      </c>
    </row>
    <row r="8">
      <c r="A8" s="0" t="inlineStr">
        <is>
          <t>CA Nord</t>
        </is>
      </c>
      <c r="B8" s="0">
        <f>SUMIF(Ventes!C4:C9,"Nord",Ventes!G4:G9)</f>
        <v>0</v>
      </c>
    </row>
  </sheetData>
  <mergeCells count="1">
    <mergeCell ref="A1:B1"/>
  </mergeCells>
</worksheet>
</file>