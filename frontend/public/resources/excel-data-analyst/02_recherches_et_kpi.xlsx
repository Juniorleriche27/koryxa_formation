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FCFA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1" fillId="3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2" borderId="0" pivotButton="0" quotePrefix="0" xfId="0"/>
    <xf numFmtId="3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59" customWidth="1" min="1" max="1"/>
    <col width="13" customWidth="1" min="2" max="2"/>
    <col width="12" customWidth="1" min="3" max="3"/>
    <col width="13" customWidth="1" min="4" max="4"/>
    <col width="12" customWidth="1" min="5" max="5"/>
    <col width="72" customWidth="1" min="6" max="6"/>
    <col width="27" customWidth="1" min="7" max="7"/>
    <col width="12" customWidth="1" min="8" max="8"/>
  </cols>
  <sheetData>
    <row r="1" ht="36" customHeight="1">
      <c r="A1" s="1" t="inlineStr">
        <is>
          <t>KORYXA — RECHERCHES AVANCÉES &amp; FORMULES D'ENRICHISSEMENT</t>
        </is>
      </c>
    </row>
    <row r="2"/>
    <row r="3">
      <c r="A3" s="2" t="inlineStr">
        <is>
          <t>Code produit</t>
        </is>
      </c>
      <c r="B3" s="2" t="inlineStr">
        <is>
          <t>Date</t>
        </is>
      </c>
      <c r="C3" s="2" t="inlineStr">
        <is>
          <t>Région</t>
        </is>
      </c>
      <c r="D3" s="2" t="inlineStr">
        <is>
          <t>Commercial</t>
        </is>
      </c>
      <c r="E3" s="2" t="inlineStr">
        <is>
          <t>Quantité</t>
        </is>
      </c>
      <c r="F3" s="2" t="inlineStr">
        <is>
          <t>Prix</t>
        </is>
      </c>
      <c r="G3" s="2" t="inlineStr">
        <is>
          <t>CA</t>
        </is>
      </c>
    </row>
    <row r="4">
      <c r="A4" s="3" t="inlineStr">
        <is>
          <t>P001</t>
        </is>
      </c>
      <c r="B4" s="3" t="inlineStr">
        <is>
          <t>2026-02-01</t>
        </is>
      </c>
      <c r="C4" s="3" t="inlineStr">
        <is>
          <t>Nord</t>
        </is>
      </c>
      <c r="D4" s="3" t="inlineStr">
        <is>
          <t>Awa</t>
        </is>
      </c>
      <c r="E4" s="3" t="n">
        <v>4</v>
      </c>
      <c r="F4" s="4">
        <f>XLOOKUP(A4,Produits!A$4:A$11,Produits!C$4:C$11,"Code inconnu")</f>
        <v/>
      </c>
      <c r="G4" s="4">
        <f>IFERROR(E4*F4,0)</f>
        <v/>
      </c>
    </row>
    <row r="5">
      <c r="A5" s="5" t="inlineStr">
        <is>
          <t>P002</t>
        </is>
      </c>
      <c r="B5" s="5" t="inlineStr">
        <is>
          <t>2026-02-02</t>
        </is>
      </c>
      <c r="C5" s="5" t="inlineStr">
        <is>
          <t>Sud</t>
        </is>
      </c>
      <c r="D5" s="5" t="inlineStr">
        <is>
          <t>Moussa</t>
        </is>
      </c>
      <c r="E5" s="5" t="n">
        <v>6</v>
      </c>
      <c r="F5" s="6">
        <f>XLOOKUP(A5,Produits!A$4:A$11,Produits!C$4:C$11,"Code inconnu")</f>
        <v/>
      </c>
      <c r="G5" s="6">
        <f>IFERROR(E5*F5,0)</f>
        <v/>
      </c>
    </row>
    <row r="6">
      <c r="A6" s="3" t="inlineStr">
        <is>
          <t>P003</t>
        </is>
      </c>
      <c r="B6" s="3" t="inlineStr">
        <is>
          <t>2026-02-03</t>
        </is>
      </c>
      <c r="C6" s="3" t="inlineStr">
        <is>
          <t>Centre</t>
        </is>
      </c>
      <c r="D6" s="3" t="inlineStr">
        <is>
          <t>Idrissa</t>
        </is>
      </c>
      <c r="E6" s="3" t="n">
        <v>4</v>
      </c>
      <c r="F6" s="4">
        <f>XLOOKUP(A6,Produits!A$4:A$11,Produits!C$4:C$11,"Code inconnu")</f>
        <v/>
      </c>
      <c r="G6" s="4">
        <f>IFERROR(E6*F6,0)</f>
        <v/>
      </c>
    </row>
    <row r="7">
      <c r="A7" s="5" t="inlineStr">
        <is>
          <t>P004</t>
        </is>
      </c>
      <c r="B7" s="5" t="inlineStr">
        <is>
          <t>2026-02-04</t>
        </is>
      </c>
      <c r="C7" s="5" t="inlineStr">
        <is>
          <t>Ouest</t>
        </is>
      </c>
      <c r="D7" s="5" t="inlineStr">
        <is>
          <t>Fatou</t>
        </is>
      </c>
      <c r="E7" s="5" t="n">
        <v>4</v>
      </c>
      <c r="F7" s="6">
        <f>XLOOKUP(A7,Produits!A$4:A$11,Produits!C$4:C$11,"Code inconnu")</f>
        <v/>
      </c>
      <c r="G7" s="6">
        <f>IFERROR(E7*F7,0)</f>
        <v/>
      </c>
    </row>
    <row r="8">
      <c r="A8" s="3" t="inlineStr">
        <is>
          <t>P005</t>
        </is>
      </c>
      <c r="B8" s="3" t="inlineStr">
        <is>
          <t>2026-02-05</t>
        </is>
      </c>
      <c r="C8" s="3" t="inlineStr">
        <is>
          <t>Export</t>
        </is>
      </c>
      <c r="D8" s="3" t="inlineStr">
        <is>
          <t>Jean</t>
        </is>
      </c>
      <c r="E8" s="3" t="n">
        <v>2</v>
      </c>
      <c r="F8" s="4">
        <f>XLOOKUP(A8,Produits!A$4:A$11,Produits!C$4:C$11,"Code inconnu")</f>
        <v/>
      </c>
      <c r="G8" s="4">
        <f>IFERROR(E8*F8,0)</f>
        <v/>
      </c>
    </row>
    <row r="9">
      <c r="A9" s="5" t="inlineStr">
        <is>
          <t>P006</t>
        </is>
      </c>
      <c r="B9" s="5" t="inlineStr">
        <is>
          <t>2026-02-06</t>
        </is>
      </c>
      <c r="C9" s="5" t="inlineStr">
        <is>
          <t>Nord</t>
        </is>
      </c>
      <c r="D9" s="5" t="inlineStr">
        <is>
          <t>Aminata</t>
        </is>
      </c>
      <c r="E9" s="5" t="n">
        <v>2</v>
      </c>
      <c r="F9" s="6">
        <f>XLOOKUP(A9,Produits!A$4:A$11,Produits!C$4:C$11,"Code inconnu")</f>
        <v/>
      </c>
      <c r="G9" s="6">
        <f>IFERROR(E9*F9,0)</f>
        <v/>
      </c>
    </row>
    <row r="10">
      <c r="A10" s="3" t="inlineStr">
        <is>
          <t>P007</t>
        </is>
      </c>
      <c r="B10" s="3" t="inlineStr">
        <is>
          <t>2026-02-07</t>
        </is>
      </c>
      <c r="C10" s="3" t="inlineStr">
        <is>
          <t>Sud</t>
        </is>
      </c>
      <c r="D10" s="3" t="inlineStr">
        <is>
          <t>Awa</t>
        </is>
      </c>
      <c r="E10" s="3" t="n">
        <v>6</v>
      </c>
      <c r="F10" s="4">
        <f>XLOOKUP(A10,Produits!A$4:A$11,Produits!C$4:C$11,"Code inconnu")</f>
        <v/>
      </c>
      <c r="G10" s="4">
        <f>IFERROR(E10*F10,0)</f>
        <v/>
      </c>
    </row>
    <row r="11">
      <c r="A11" s="5" t="inlineStr">
        <is>
          <t>P008</t>
        </is>
      </c>
      <c r="B11" s="5" t="inlineStr">
        <is>
          <t>2026-02-08</t>
        </is>
      </c>
      <c r="C11" s="5" t="inlineStr">
        <is>
          <t>Centre</t>
        </is>
      </c>
      <c r="D11" s="5" t="inlineStr">
        <is>
          <t>Moussa</t>
        </is>
      </c>
      <c r="E11" s="5" t="n">
        <v>4</v>
      </c>
      <c r="F11" s="6">
        <f>XLOOKUP(A11,Produits!A$4:A$11,Produits!C$4:C$11,"Code inconnu")</f>
        <v/>
      </c>
      <c r="G11" s="6">
        <f>IFERROR(E11*F11,0)</f>
        <v/>
      </c>
    </row>
    <row r="12">
      <c r="A12" s="3" t="inlineStr">
        <is>
          <t>P001</t>
        </is>
      </c>
      <c r="B12" s="3" t="inlineStr">
        <is>
          <t>2026-02-09</t>
        </is>
      </c>
      <c r="C12" s="3" t="inlineStr">
        <is>
          <t>Ouest</t>
        </is>
      </c>
      <c r="D12" s="3" t="inlineStr">
        <is>
          <t>Idrissa</t>
        </is>
      </c>
      <c r="E12" s="3" t="n">
        <v>1</v>
      </c>
      <c r="F12" s="4">
        <f>XLOOKUP(A12,Produits!A$4:A$11,Produits!C$4:C$11,"Code inconnu")</f>
        <v/>
      </c>
      <c r="G12" s="4">
        <f>IFERROR(E12*F12,0)</f>
        <v/>
      </c>
    </row>
    <row r="13">
      <c r="A13" s="5" t="inlineStr">
        <is>
          <t>P002</t>
        </is>
      </c>
      <c r="B13" s="5" t="inlineStr">
        <is>
          <t>2026-02-10</t>
        </is>
      </c>
      <c r="C13" s="5" t="inlineStr">
        <is>
          <t>Export</t>
        </is>
      </c>
      <c r="D13" s="5" t="inlineStr">
        <is>
          <t>Fatou</t>
        </is>
      </c>
      <c r="E13" s="5" t="n">
        <v>4</v>
      </c>
      <c r="F13" s="6">
        <f>XLOOKUP(A13,Produits!A$4:A$11,Produits!C$4:C$11,"Code inconnu")</f>
        <v/>
      </c>
      <c r="G13" s="6">
        <f>IFERROR(E13*F13,0)</f>
        <v/>
      </c>
    </row>
    <row r="14">
      <c r="A14" s="3" t="inlineStr">
        <is>
          <t>P003</t>
        </is>
      </c>
      <c r="B14" s="3" t="inlineStr">
        <is>
          <t>2026-02-11</t>
        </is>
      </c>
      <c r="C14" s="3" t="inlineStr">
        <is>
          <t>Nord</t>
        </is>
      </c>
      <c r="D14" s="3" t="inlineStr">
        <is>
          <t>Jean</t>
        </is>
      </c>
      <c r="E14" s="3" t="n">
        <v>4</v>
      </c>
      <c r="F14" s="4">
        <f>XLOOKUP(A14,Produits!A$4:A$11,Produits!C$4:C$11,"Code inconnu")</f>
        <v/>
      </c>
      <c r="G14" s="4">
        <f>IFERROR(E14*F14,0)</f>
        <v/>
      </c>
    </row>
    <row r="15">
      <c r="A15" s="5" t="inlineStr">
        <is>
          <t>P004</t>
        </is>
      </c>
      <c r="B15" s="5" t="inlineStr">
        <is>
          <t>2026-02-12</t>
        </is>
      </c>
      <c r="C15" s="5" t="inlineStr">
        <is>
          <t>Sud</t>
        </is>
      </c>
      <c r="D15" s="5" t="inlineStr">
        <is>
          <t>Aminata</t>
        </is>
      </c>
      <c r="E15" s="5" t="n">
        <v>4</v>
      </c>
      <c r="F15" s="6">
        <f>XLOOKUP(A15,Produits!A$4:A$11,Produits!C$4:C$11,"Code inconnu")</f>
        <v/>
      </c>
      <c r="G15" s="6">
        <f>IFERROR(E15*F15,0)</f>
        <v/>
      </c>
    </row>
    <row r="16">
      <c r="A16" s="3" t="inlineStr">
        <is>
          <t>P005</t>
        </is>
      </c>
      <c r="B16" s="3" t="inlineStr">
        <is>
          <t>2026-02-13</t>
        </is>
      </c>
      <c r="C16" s="3" t="inlineStr">
        <is>
          <t>Centre</t>
        </is>
      </c>
      <c r="D16" s="3" t="inlineStr">
        <is>
          <t>Awa</t>
        </is>
      </c>
      <c r="E16" s="3" t="n">
        <v>1</v>
      </c>
      <c r="F16" s="4">
        <f>XLOOKUP(A16,Produits!A$4:A$11,Produits!C$4:C$11,"Code inconnu")</f>
        <v/>
      </c>
      <c r="G16" s="4">
        <f>IFERROR(E16*F16,0)</f>
        <v/>
      </c>
    </row>
    <row r="17">
      <c r="A17" s="5" t="inlineStr">
        <is>
          <t>P006</t>
        </is>
      </c>
      <c r="B17" s="5" t="inlineStr">
        <is>
          <t>2026-02-14</t>
        </is>
      </c>
      <c r="C17" s="5" t="inlineStr">
        <is>
          <t>Ouest</t>
        </is>
      </c>
      <c r="D17" s="5" t="inlineStr">
        <is>
          <t>Moussa</t>
        </is>
      </c>
      <c r="E17" s="5" t="n">
        <v>5</v>
      </c>
      <c r="F17" s="6">
        <f>XLOOKUP(A17,Produits!A$4:A$11,Produits!C$4:C$11,"Code inconnu")</f>
        <v/>
      </c>
      <c r="G17" s="6">
        <f>IFERROR(E17*F17,0)</f>
        <v/>
      </c>
    </row>
    <row r="18">
      <c r="A18" s="3" t="inlineStr">
        <is>
          <t>P007</t>
        </is>
      </c>
      <c r="B18" s="3" t="inlineStr">
        <is>
          <t>2026-02-15</t>
        </is>
      </c>
      <c r="C18" s="3" t="inlineStr">
        <is>
          <t>Export</t>
        </is>
      </c>
      <c r="D18" s="3" t="inlineStr">
        <is>
          <t>Idrissa</t>
        </is>
      </c>
      <c r="E18" s="3" t="n">
        <v>3</v>
      </c>
      <c r="F18" s="4">
        <f>XLOOKUP(A18,Produits!A$4:A$11,Produits!C$4:C$11,"Code inconnu")</f>
        <v/>
      </c>
      <c r="G18" s="4">
        <f>IFERROR(E18*F18,0)</f>
        <v/>
      </c>
    </row>
    <row r="19">
      <c r="A19" s="5" t="inlineStr">
        <is>
          <t>P008</t>
        </is>
      </c>
      <c r="B19" s="5" t="inlineStr">
        <is>
          <t>2026-02-16</t>
        </is>
      </c>
      <c r="C19" s="5" t="inlineStr">
        <is>
          <t>Nord</t>
        </is>
      </c>
      <c r="D19" s="5" t="inlineStr">
        <is>
          <t>Fatou</t>
        </is>
      </c>
      <c r="E19" s="5" t="n">
        <v>2</v>
      </c>
      <c r="F19" s="6">
        <f>XLOOKUP(A19,Produits!A$4:A$11,Produits!C$4:C$11,"Code inconnu")</f>
        <v/>
      </c>
      <c r="G19" s="6">
        <f>IFERROR(E19*F19,0)</f>
        <v/>
      </c>
    </row>
    <row r="20">
      <c r="A20" s="3" t="inlineStr">
        <is>
          <t>P001</t>
        </is>
      </c>
      <c r="B20" s="3" t="inlineStr">
        <is>
          <t>2026-02-17</t>
        </is>
      </c>
      <c r="C20" s="3" t="inlineStr">
        <is>
          <t>Sud</t>
        </is>
      </c>
      <c r="D20" s="3" t="inlineStr">
        <is>
          <t>Jean</t>
        </is>
      </c>
      <c r="E20" s="3" t="n">
        <v>2</v>
      </c>
      <c r="F20" s="4">
        <f>XLOOKUP(A20,Produits!A$4:A$11,Produits!C$4:C$11,"Code inconnu")</f>
        <v/>
      </c>
      <c r="G20" s="4">
        <f>IFERROR(E20*F20,0)</f>
        <v/>
      </c>
    </row>
    <row r="21">
      <c r="A21" s="5" t="inlineStr">
        <is>
          <t>P002</t>
        </is>
      </c>
      <c r="B21" s="5" t="inlineStr">
        <is>
          <t>2026-02-18</t>
        </is>
      </c>
      <c r="C21" s="5" t="inlineStr">
        <is>
          <t>Centre</t>
        </is>
      </c>
      <c r="D21" s="5" t="inlineStr">
        <is>
          <t>Aminata</t>
        </is>
      </c>
      <c r="E21" s="5" t="n">
        <v>4</v>
      </c>
      <c r="F21" s="6">
        <f>XLOOKUP(A21,Produits!A$4:A$11,Produits!C$4:C$11,"Code inconnu")</f>
        <v/>
      </c>
      <c r="G21" s="6">
        <f>IFERROR(E21*F21,0)</f>
        <v/>
      </c>
    </row>
    <row r="22">
      <c r="A22" s="3" t="inlineStr">
        <is>
          <t>P003</t>
        </is>
      </c>
      <c r="B22" s="3" t="inlineStr">
        <is>
          <t>2026-02-19</t>
        </is>
      </c>
      <c r="C22" s="3" t="inlineStr">
        <is>
          <t>Ouest</t>
        </is>
      </c>
      <c r="D22" s="3" t="inlineStr">
        <is>
          <t>Awa</t>
        </is>
      </c>
      <c r="E22" s="3" t="n">
        <v>6</v>
      </c>
      <c r="F22" s="4">
        <f>XLOOKUP(A22,Produits!A$4:A$11,Produits!C$4:C$11,"Code inconnu")</f>
        <v/>
      </c>
      <c r="G22" s="4">
        <f>IFERROR(E22*F22,0)</f>
        <v/>
      </c>
    </row>
    <row r="23">
      <c r="A23" s="5" t="inlineStr">
        <is>
          <t>P004</t>
        </is>
      </c>
      <c r="B23" s="5" t="inlineStr">
        <is>
          <t>2026-02-20</t>
        </is>
      </c>
      <c r="C23" s="5" t="inlineStr">
        <is>
          <t>Export</t>
        </is>
      </c>
      <c r="D23" s="5" t="inlineStr">
        <is>
          <t>Moussa</t>
        </is>
      </c>
      <c r="E23" s="5" t="n">
        <v>5</v>
      </c>
      <c r="F23" s="6">
        <f>XLOOKUP(A23,Produits!A$4:A$11,Produits!C$4:C$11,"Code inconnu")</f>
        <v/>
      </c>
      <c r="G23" s="6">
        <f>IFERROR(E23*F23,0)</f>
        <v/>
      </c>
    </row>
    <row r="24">
      <c r="A24" s="3" t="inlineStr">
        <is>
          <t>P005</t>
        </is>
      </c>
      <c r="B24" s="3" t="inlineStr">
        <is>
          <t>2026-02-21</t>
        </is>
      </c>
      <c r="C24" s="3" t="inlineStr">
        <is>
          <t>Nord</t>
        </is>
      </c>
      <c r="D24" s="3" t="inlineStr">
        <is>
          <t>Idrissa</t>
        </is>
      </c>
      <c r="E24" s="3" t="n">
        <v>6</v>
      </c>
      <c r="F24" s="4">
        <f>XLOOKUP(A24,Produits!A$4:A$11,Produits!C$4:C$11,"Code inconnu")</f>
        <v/>
      </c>
      <c r="G24" s="4">
        <f>IFERROR(E24*F24,0)</f>
        <v/>
      </c>
    </row>
    <row r="25">
      <c r="A25" s="5" t="inlineStr">
        <is>
          <t>P006</t>
        </is>
      </c>
      <c r="B25" s="5" t="inlineStr">
        <is>
          <t>2026-02-22</t>
        </is>
      </c>
      <c r="C25" s="5" t="inlineStr">
        <is>
          <t>Sud</t>
        </is>
      </c>
      <c r="D25" s="5" t="inlineStr">
        <is>
          <t>Fatou</t>
        </is>
      </c>
      <c r="E25" s="5" t="n">
        <v>5</v>
      </c>
      <c r="F25" s="6">
        <f>XLOOKUP(A25,Produits!A$4:A$11,Produits!C$4:C$11,"Code inconnu")</f>
        <v/>
      </c>
      <c r="G25" s="6">
        <f>IFERROR(E25*F25,0)</f>
        <v/>
      </c>
    </row>
    <row r="26">
      <c r="A26" s="3" t="inlineStr">
        <is>
          <t>P007</t>
        </is>
      </c>
      <c r="B26" s="3" t="inlineStr">
        <is>
          <t>2026-02-23</t>
        </is>
      </c>
      <c r="C26" s="3" t="inlineStr">
        <is>
          <t>Centre</t>
        </is>
      </c>
      <c r="D26" s="3" t="inlineStr">
        <is>
          <t>Jean</t>
        </is>
      </c>
      <c r="E26" s="3" t="n">
        <v>2</v>
      </c>
      <c r="F26" s="4">
        <f>XLOOKUP(A26,Produits!A$4:A$11,Produits!C$4:C$11,"Code inconnu")</f>
        <v/>
      </c>
      <c r="G26" s="4">
        <f>IFERROR(E26*F26,0)</f>
        <v/>
      </c>
    </row>
    <row r="27">
      <c r="A27" s="5" t="inlineStr">
        <is>
          <t>P008</t>
        </is>
      </c>
      <c r="B27" s="5" t="inlineStr">
        <is>
          <t>2026-02-24</t>
        </is>
      </c>
      <c r="C27" s="5" t="inlineStr">
        <is>
          <t>Ouest</t>
        </is>
      </c>
      <c r="D27" s="5" t="inlineStr">
        <is>
          <t>Aminata</t>
        </is>
      </c>
      <c r="E27" s="5" t="n">
        <v>4</v>
      </c>
      <c r="F27" s="6">
        <f>XLOOKUP(A27,Produits!A$4:A$11,Produits!C$4:C$11,"Code inconnu")</f>
        <v/>
      </c>
      <c r="G27" s="6">
        <f>IFERROR(E27*F27,0)</f>
        <v/>
      </c>
    </row>
    <row r="28">
      <c r="A28" s="3" t="inlineStr">
        <is>
          <t>P001</t>
        </is>
      </c>
      <c r="B28" s="3" t="inlineStr">
        <is>
          <t>2026-02-25</t>
        </is>
      </c>
      <c r="C28" s="3" t="inlineStr">
        <is>
          <t>Export</t>
        </is>
      </c>
      <c r="D28" s="3" t="inlineStr">
        <is>
          <t>Awa</t>
        </is>
      </c>
      <c r="E28" s="3" t="n">
        <v>3</v>
      </c>
      <c r="F28" s="4">
        <f>XLOOKUP(A28,Produits!A$4:A$11,Produits!C$4:C$11,"Code inconnu")</f>
        <v/>
      </c>
      <c r="G28" s="4">
        <f>IFERROR(E28*F28,0)</f>
        <v/>
      </c>
    </row>
    <row r="29">
      <c r="A29" s="5" t="inlineStr">
        <is>
          <t>P002</t>
        </is>
      </c>
      <c r="B29" s="5" t="inlineStr">
        <is>
          <t>2026-02-26</t>
        </is>
      </c>
      <c r="C29" s="5" t="inlineStr">
        <is>
          <t>Nord</t>
        </is>
      </c>
      <c r="D29" s="5" t="inlineStr">
        <is>
          <t>Moussa</t>
        </is>
      </c>
      <c r="E29" s="5" t="n">
        <v>4</v>
      </c>
      <c r="F29" s="6">
        <f>XLOOKUP(A29,Produits!A$4:A$11,Produits!C$4:C$11,"Code inconnu")</f>
        <v/>
      </c>
      <c r="G29" s="6">
        <f>IFERROR(E29*F29,0)</f>
        <v/>
      </c>
    </row>
    <row r="30">
      <c r="A30" s="3" t="inlineStr">
        <is>
          <t>P003</t>
        </is>
      </c>
      <c r="B30" s="3" t="inlineStr">
        <is>
          <t>2026-02-27</t>
        </is>
      </c>
      <c r="C30" s="3" t="inlineStr">
        <is>
          <t>Sud</t>
        </is>
      </c>
      <c r="D30" s="3" t="inlineStr">
        <is>
          <t>Idrissa</t>
        </is>
      </c>
      <c r="E30" s="3" t="n">
        <v>2</v>
      </c>
      <c r="F30" s="4">
        <f>XLOOKUP(A30,Produits!A$4:A$11,Produits!C$4:C$11,"Code inconnu")</f>
        <v/>
      </c>
      <c r="G30" s="4">
        <f>IFERROR(E30*F30,0)</f>
        <v/>
      </c>
    </row>
    <row r="31">
      <c r="A31" s="5" t="inlineStr">
        <is>
          <t>P004</t>
        </is>
      </c>
      <c r="B31" s="5" t="inlineStr">
        <is>
          <t>2026-02-28</t>
        </is>
      </c>
      <c r="C31" s="5" t="inlineStr">
        <is>
          <t>Centre</t>
        </is>
      </c>
      <c r="D31" s="5" t="inlineStr">
        <is>
          <t>Fatou</t>
        </is>
      </c>
      <c r="E31" s="5" t="n">
        <v>4</v>
      </c>
      <c r="F31" s="6">
        <f>XLOOKUP(A31,Produits!A$4:A$11,Produits!C$4:C$11,"Code inconnu")</f>
        <v/>
      </c>
      <c r="G31" s="6">
        <f>IFERROR(E31*F31,0)</f>
        <v/>
      </c>
    </row>
    <row r="32">
      <c r="A32" s="3" t="inlineStr">
        <is>
          <t>P005</t>
        </is>
      </c>
      <c r="B32" s="3" t="inlineStr">
        <is>
          <t>2026-02-01</t>
        </is>
      </c>
      <c r="C32" s="3" t="inlineStr">
        <is>
          <t>Ouest</t>
        </is>
      </c>
      <c r="D32" s="3" t="inlineStr">
        <is>
          <t>Jean</t>
        </is>
      </c>
      <c r="E32" s="3" t="n">
        <v>4</v>
      </c>
      <c r="F32" s="4">
        <f>XLOOKUP(A32,Produits!A$4:A$11,Produits!C$4:C$11,"Code inconnu")</f>
        <v/>
      </c>
      <c r="G32" s="4">
        <f>IFERROR(E32*F32,0)</f>
        <v/>
      </c>
    </row>
    <row r="33">
      <c r="A33" s="5" t="inlineStr">
        <is>
          <t>P006</t>
        </is>
      </c>
      <c r="B33" s="5" t="inlineStr">
        <is>
          <t>2026-02-02</t>
        </is>
      </c>
      <c r="C33" s="5" t="inlineStr">
        <is>
          <t>Export</t>
        </is>
      </c>
      <c r="D33" s="5" t="inlineStr">
        <is>
          <t>Aminata</t>
        </is>
      </c>
      <c r="E33" s="5" t="n">
        <v>6</v>
      </c>
      <c r="F33" s="6">
        <f>XLOOKUP(A33,Produits!A$4:A$11,Produits!C$4:C$11,"Code inconnu")</f>
        <v/>
      </c>
      <c r="G33" s="6">
        <f>IFERROR(E33*F33,0)</f>
        <v/>
      </c>
    </row>
    <row r="34">
      <c r="A34" s="3" t="inlineStr">
        <is>
          <t>P007</t>
        </is>
      </c>
      <c r="B34" s="3" t="inlineStr">
        <is>
          <t>2026-02-03</t>
        </is>
      </c>
      <c r="C34" s="3" t="inlineStr">
        <is>
          <t>Nord</t>
        </is>
      </c>
      <c r="D34" s="3" t="inlineStr">
        <is>
          <t>Awa</t>
        </is>
      </c>
      <c r="E34" s="3" t="n">
        <v>6</v>
      </c>
      <c r="F34" s="4">
        <f>XLOOKUP(A34,Produits!A$4:A$11,Produits!C$4:C$11,"Code inconnu")</f>
        <v/>
      </c>
      <c r="G34" s="4">
        <f>IFERROR(E34*F34,0)</f>
        <v/>
      </c>
    </row>
    <row r="35">
      <c r="A35" s="5" t="inlineStr">
        <is>
          <t>P008</t>
        </is>
      </c>
      <c r="B35" s="5" t="inlineStr">
        <is>
          <t>2026-02-04</t>
        </is>
      </c>
      <c r="C35" s="5" t="inlineStr">
        <is>
          <t>Sud</t>
        </is>
      </c>
      <c r="D35" s="5" t="inlineStr">
        <is>
          <t>Moussa</t>
        </is>
      </c>
      <c r="E35" s="5" t="n">
        <v>6</v>
      </c>
      <c r="F35" s="6">
        <f>XLOOKUP(A35,Produits!A$4:A$11,Produits!C$4:C$11,"Code inconnu")</f>
        <v/>
      </c>
      <c r="G35" s="6">
        <f>IFERROR(E35*F35,0)</f>
        <v/>
      </c>
    </row>
    <row r="36">
      <c r="A36" s="3" t="inlineStr">
        <is>
          <t>P001</t>
        </is>
      </c>
      <c r="B36" s="3" t="inlineStr">
        <is>
          <t>2026-02-05</t>
        </is>
      </c>
      <c r="C36" s="3" t="inlineStr">
        <is>
          <t>Centre</t>
        </is>
      </c>
      <c r="D36" s="3" t="inlineStr">
        <is>
          <t>Idrissa</t>
        </is>
      </c>
      <c r="E36" s="3" t="n">
        <v>6</v>
      </c>
      <c r="F36" s="4">
        <f>XLOOKUP(A36,Produits!A$4:A$11,Produits!C$4:C$11,"Code inconnu")</f>
        <v/>
      </c>
      <c r="G36" s="4">
        <f>IFERROR(E36*F36,0)</f>
        <v/>
      </c>
    </row>
    <row r="37">
      <c r="A37" s="5" t="inlineStr">
        <is>
          <t>P002</t>
        </is>
      </c>
      <c r="B37" s="5" t="inlineStr">
        <is>
          <t>2026-02-06</t>
        </is>
      </c>
      <c r="C37" s="5" t="inlineStr">
        <is>
          <t>Ouest</t>
        </is>
      </c>
      <c r="D37" s="5" t="inlineStr">
        <is>
          <t>Fatou</t>
        </is>
      </c>
      <c r="E37" s="5" t="n">
        <v>1</v>
      </c>
      <c r="F37" s="6">
        <f>XLOOKUP(A37,Produits!A$4:A$11,Produits!C$4:C$11,"Code inconnu")</f>
        <v/>
      </c>
      <c r="G37" s="6">
        <f>IFERROR(E37*F37,0)</f>
        <v/>
      </c>
    </row>
    <row r="38">
      <c r="A38" s="3" t="inlineStr">
        <is>
          <t>P003</t>
        </is>
      </c>
      <c r="B38" s="3" t="inlineStr">
        <is>
          <t>2026-02-07</t>
        </is>
      </c>
      <c r="C38" s="3" t="inlineStr">
        <is>
          <t>Export</t>
        </is>
      </c>
      <c r="D38" s="3" t="inlineStr">
        <is>
          <t>Jean</t>
        </is>
      </c>
      <c r="E38" s="3" t="n">
        <v>5</v>
      </c>
      <c r="F38" s="4">
        <f>XLOOKUP(A38,Produits!A$4:A$11,Produits!C$4:C$11,"Code inconnu")</f>
        <v/>
      </c>
      <c r="G38" s="4">
        <f>IFERROR(E38*F38,0)</f>
        <v/>
      </c>
    </row>
    <row r="39">
      <c r="A39" s="5" t="inlineStr">
        <is>
          <t>P004</t>
        </is>
      </c>
      <c r="B39" s="5" t="inlineStr">
        <is>
          <t>2026-02-08</t>
        </is>
      </c>
      <c r="C39" s="5" t="inlineStr">
        <is>
          <t>Nord</t>
        </is>
      </c>
      <c r="D39" s="5" t="inlineStr">
        <is>
          <t>Aminata</t>
        </is>
      </c>
      <c r="E39" s="5" t="n">
        <v>2</v>
      </c>
      <c r="F39" s="6">
        <f>XLOOKUP(A39,Produits!A$4:A$11,Produits!C$4:C$11,"Code inconnu")</f>
        <v/>
      </c>
      <c r="G39" s="6">
        <f>IFERROR(E39*F39,0)</f>
        <v/>
      </c>
    </row>
    <row r="40">
      <c r="A40" s="3" t="inlineStr">
        <is>
          <t>P005</t>
        </is>
      </c>
      <c r="B40" s="3" t="inlineStr">
        <is>
          <t>2026-02-09</t>
        </is>
      </c>
      <c r="C40" s="3" t="inlineStr">
        <is>
          <t>Sud</t>
        </is>
      </c>
      <c r="D40" s="3" t="inlineStr">
        <is>
          <t>Awa</t>
        </is>
      </c>
      <c r="E40" s="3" t="n">
        <v>3</v>
      </c>
      <c r="F40" s="4">
        <f>XLOOKUP(A40,Produits!A$4:A$11,Produits!C$4:C$11,"Code inconnu")</f>
        <v/>
      </c>
      <c r="G40" s="4">
        <f>IFERROR(E40*F40,0)</f>
        <v/>
      </c>
    </row>
    <row r="41">
      <c r="A41" s="5" t="inlineStr">
        <is>
          <t>P006</t>
        </is>
      </c>
      <c r="B41" s="5" t="inlineStr">
        <is>
          <t>2026-02-10</t>
        </is>
      </c>
      <c r="C41" s="5" t="inlineStr">
        <is>
          <t>Centre</t>
        </is>
      </c>
      <c r="D41" s="5" t="inlineStr">
        <is>
          <t>Moussa</t>
        </is>
      </c>
      <c r="E41" s="5" t="n">
        <v>4</v>
      </c>
      <c r="F41" s="6">
        <f>XLOOKUP(A41,Produits!A$4:A$11,Produits!C$4:C$11,"Code inconnu")</f>
        <v/>
      </c>
      <c r="G41" s="6">
        <f>IFERROR(E41*F41,0)</f>
        <v/>
      </c>
    </row>
    <row r="42">
      <c r="A42" s="3" t="inlineStr">
        <is>
          <t>P007</t>
        </is>
      </c>
      <c r="B42" s="3" t="inlineStr">
        <is>
          <t>2026-02-11</t>
        </is>
      </c>
      <c r="C42" s="3" t="inlineStr">
        <is>
          <t>Ouest</t>
        </is>
      </c>
      <c r="D42" s="3" t="inlineStr">
        <is>
          <t>Idrissa</t>
        </is>
      </c>
      <c r="E42" s="3" t="n">
        <v>4</v>
      </c>
      <c r="F42" s="4">
        <f>XLOOKUP(A42,Produits!A$4:A$11,Produits!C$4:C$11,"Code inconnu")</f>
        <v/>
      </c>
      <c r="G42" s="4">
        <f>IFERROR(E42*F42,0)</f>
        <v/>
      </c>
    </row>
    <row r="43">
      <c r="A43" s="5" t="inlineStr">
        <is>
          <t>P008</t>
        </is>
      </c>
      <c r="B43" s="5" t="inlineStr">
        <is>
          <t>2026-02-12</t>
        </is>
      </c>
      <c r="C43" s="5" t="inlineStr">
        <is>
          <t>Export</t>
        </is>
      </c>
      <c r="D43" s="5" t="inlineStr">
        <is>
          <t>Fatou</t>
        </is>
      </c>
      <c r="E43" s="5" t="n">
        <v>4</v>
      </c>
      <c r="F43" s="6">
        <f>XLOOKUP(A43,Produits!A$4:A$11,Produits!C$4:C$11,"Code inconnu")</f>
        <v/>
      </c>
      <c r="G43" s="6">
        <f>IFERROR(E43*F43,0)</f>
        <v/>
      </c>
    </row>
    <row r="44">
      <c r="A44" s="3" t="inlineStr">
        <is>
          <t>P001</t>
        </is>
      </c>
      <c r="B44" s="3" t="inlineStr">
        <is>
          <t>2026-02-13</t>
        </is>
      </c>
      <c r="C44" s="3" t="inlineStr">
        <is>
          <t>Nord</t>
        </is>
      </c>
      <c r="D44" s="3" t="inlineStr">
        <is>
          <t>Jean</t>
        </is>
      </c>
      <c r="E44" s="3" t="n">
        <v>3</v>
      </c>
      <c r="F44" s="4">
        <f>XLOOKUP(A44,Produits!A$4:A$11,Produits!C$4:C$11,"Code inconnu")</f>
        <v/>
      </c>
      <c r="G44" s="4">
        <f>IFERROR(E44*F44,0)</f>
        <v/>
      </c>
    </row>
    <row r="45">
      <c r="A45" s="5" t="inlineStr">
        <is>
          <t>P002</t>
        </is>
      </c>
      <c r="B45" s="5" t="inlineStr">
        <is>
          <t>2026-02-14</t>
        </is>
      </c>
      <c r="C45" s="5" t="inlineStr">
        <is>
          <t>Sud</t>
        </is>
      </c>
      <c r="D45" s="5" t="inlineStr">
        <is>
          <t>Aminata</t>
        </is>
      </c>
      <c r="E45" s="5" t="n">
        <v>1</v>
      </c>
      <c r="F45" s="6">
        <f>XLOOKUP(A45,Produits!A$4:A$11,Produits!C$4:C$11,"Code inconnu")</f>
        <v/>
      </c>
      <c r="G45" s="6">
        <f>IFERROR(E45*F45,0)</f>
        <v/>
      </c>
    </row>
    <row r="46">
      <c r="A46" s="3" t="inlineStr">
        <is>
          <t>P003</t>
        </is>
      </c>
      <c r="B46" s="3" t="inlineStr">
        <is>
          <t>2026-02-15</t>
        </is>
      </c>
      <c r="C46" s="3" t="inlineStr">
        <is>
          <t>Centre</t>
        </is>
      </c>
      <c r="D46" s="3" t="inlineStr">
        <is>
          <t>Awa</t>
        </is>
      </c>
      <c r="E46" s="3" t="n">
        <v>2</v>
      </c>
      <c r="F46" s="4">
        <f>XLOOKUP(A46,Produits!A$4:A$11,Produits!C$4:C$11,"Code inconnu")</f>
        <v/>
      </c>
      <c r="G46" s="4">
        <f>IFERROR(E46*F46,0)</f>
        <v/>
      </c>
    </row>
    <row r="47">
      <c r="A47" s="5" t="inlineStr">
        <is>
          <t>P004</t>
        </is>
      </c>
      <c r="B47" s="5" t="inlineStr">
        <is>
          <t>2026-02-16</t>
        </is>
      </c>
      <c r="C47" s="5" t="inlineStr">
        <is>
          <t>Ouest</t>
        </is>
      </c>
      <c r="D47" s="5" t="inlineStr">
        <is>
          <t>Moussa</t>
        </is>
      </c>
      <c r="E47" s="5" t="n">
        <v>6</v>
      </c>
      <c r="F47" s="6">
        <f>XLOOKUP(A47,Produits!A$4:A$11,Produits!C$4:C$11,"Code inconnu")</f>
        <v/>
      </c>
      <c r="G47" s="6">
        <f>IFERROR(E47*F47,0)</f>
        <v/>
      </c>
    </row>
    <row r="48">
      <c r="A48" s="3" t="inlineStr">
        <is>
          <t>P005</t>
        </is>
      </c>
      <c r="B48" s="3" t="inlineStr">
        <is>
          <t>2026-02-17</t>
        </is>
      </c>
      <c r="C48" s="3" t="inlineStr">
        <is>
          <t>Export</t>
        </is>
      </c>
      <c r="D48" s="3" t="inlineStr">
        <is>
          <t>Idrissa</t>
        </is>
      </c>
      <c r="E48" s="3" t="n">
        <v>1</v>
      </c>
      <c r="F48" s="4">
        <f>XLOOKUP(A48,Produits!A$4:A$11,Produits!C$4:C$11,"Code inconnu")</f>
        <v/>
      </c>
      <c r="G48" s="4">
        <f>IFERROR(E48*F48,0)</f>
        <v/>
      </c>
    </row>
    <row r="49">
      <c r="A49" s="5" t="inlineStr">
        <is>
          <t>P006</t>
        </is>
      </c>
      <c r="B49" s="5" t="inlineStr">
        <is>
          <t>2026-02-18</t>
        </is>
      </c>
      <c r="C49" s="5" t="inlineStr">
        <is>
          <t>Nord</t>
        </is>
      </c>
      <c r="D49" s="5" t="inlineStr">
        <is>
          <t>Fatou</t>
        </is>
      </c>
      <c r="E49" s="5" t="n">
        <v>1</v>
      </c>
      <c r="F49" s="6">
        <f>XLOOKUP(A49,Produits!A$4:A$11,Produits!C$4:C$11,"Code inconnu")</f>
        <v/>
      </c>
      <c r="G49" s="6">
        <f>IFERROR(E49*F49,0)</f>
        <v/>
      </c>
    </row>
    <row r="50">
      <c r="A50" s="3" t="inlineStr">
        <is>
          <t>P007</t>
        </is>
      </c>
      <c r="B50" s="3" t="inlineStr">
        <is>
          <t>2026-02-19</t>
        </is>
      </c>
      <c r="C50" s="3" t="inlineStr">
        <is>
          <t>Sud</t>
        </is>
      </c>
      <c r="D50" s="3" t="inlineStr">
        <is>
          <t>Jean</t>
        </is>
      </c>
      <c r="E50" s="3" t="n">
        <v>4</v>
      </c>
      <c r="F50" s="4">
        <f>XLOOKUP(A50,Produits!A$4:A$11,Produits!C$4:C$11,"Code inconnu")</f>
        <v/>
      </c>
      <c r="G50" s="4">
        <f>IFERROR(E50*F50,0)</f>
        <v/>
      </c>
    </row>
    <row r="51">
      <c r="A51" s="5" t="inlineStr">
        <is>
          <t>P008</t>
        </is>
      </c>
      <c r="B51" s="5" t="inlineStr">
        <is>
          <t>2026-02-20</t>
        </is>
      </c>
      <c r="C51" s="5" t="inlineStr">
        <is>
          <t>Centre</t>
        </is>
      </c>
      <c r="D51" s="5" t="inlineStr">
        <is>
          <t>Aminata</t>
        </is>
      </c>
      <c r="E51" s="5" t="n">
        <v>3</v>
      </c>
      <c r="F51" s="6">
        <f>XLOOKUP(A51,Produits!A$4:A$11,Produits!C$4:C$11,"Code inconnu")</f>
        <v/>
      </c>
      <c r="G51" s="6">
        <f>IFERROR(E51*F51,0)</f>
        <v/>
      </c>
    </row>
    <row r="52">
      <c r="A52" s="3" t="inlineStr">
        <is>
          <t>P001</t>
        </is>
      </c>
      <c r="B52" s="3" t="inlineStr">
        <is>
          <t>2026-02-21</t>
        </is>
      </c>
      <c r="C52" s="3" t="inlineStr">
        <is>
          <t>Ouest</t>
        </is>
      </c>
      <c r="D52" s="3" t="inlineStr">
        <is>
          <t>Awa</t>
        </is>
      </c>
      <c r="E52" s="3" t="n">
        <v>1</v>
      </c>
      <c r="F52" s="4">
        <f>XLOOKUP(A52,Produits!A$4:A$11,Produits!C$4:C$11,"Code inconnu")</f>
        <v/>
      </c>
      <c r="G52" s="4">
        <f>IFERROR(E52*F52,0)</f>
        <v/>
      </c>
    </row>
    <row r="53">
      <c r="A53" s="5" t="inlineStr">
        <is>
          <t>P002</t>
        </is>
      </c>
      <c r="B53" s="5" t="inlineStr">
        <is>
          <t>2026-02-22</t>
        </is>
      </c>
      <c r="C53" s="5" t="inlineStr">
        <is>
          <t>Export</t>
        </is>
      </c>
      <c r="D53" s="5" t="inlineStr">
        <is>
          <t>Moussa</t>
        </is>
      </c>
      <c r="E53" s="5" t="n">
        <v>2</v>
      </c>
      <c r="F53" s="6">
        <f>XLOOKUP(A53,Produits!A$4:A$11,Produits!C$4:C$11,"Code inconnu")</f>
        <v/>
      </c>
      <c r="G53" s="6">
        <f>IFERROR(E53*F53,0)</f>
        <v/>
      </c>
    </row>
    <row r="54">
      <c r="A54" s="3" t="inlineStr">
        <is>
          <t>P003</t>
        </is>
      </c>
      <c r="B54" s="3" t="inlineStr">
        <is>
          <t>2026-02-23</t>
        </is>
      </c>
      <c r="C54" s="3" t="inlineStr">
        <is>
          <t>Nord</t>
        </is>
      </c>
      <c r="D54" s="3" t="inlineStr">
        <is>
          <t>Idrissa</t>
        </is>
      </c>
      <c r="E54" s="3" t="n">
        <v>2</v>
      </c>
      <c r="F54" s="4">
        <f>XLOOKUP(A54,Produits!A$4:A$11,Produits!C$4:C$11,"Code inconnu")</f>
        <v/>
      </c>
      <c r="G54" s="4">
        <f>IFERROR(E54*F54,0)</f>
        <v/>
      </c>
    </row>
    <row r="55">
      <c r="A55" s="5" t="inlineStr">
        <is>
          <t>P004</t>
        </is>
      </c>
      <c r="B55" s="5" t="inlineStr">
        <is>
          <t>2026-02-24</t>
        </is>
      </c>
      <c r="C55" s="5" t="inlineStr">
        <is>
          <t>Sud</t>
        </is>
      </c>
      <c r="D55" s="5" t="inlineStr">
        <is>
          <t>Fatou</t>
        </is>
      </c>
      <c r="E55" s="5" t="n">
        <v>2</v>
      </c>
      <c r="F55" s="6">
        <f>XLOOKUP(A55,Produits!A$4:A$11,Produits!C$4:C$11,"Code inconnu")</f>
        <v/>
      </c>
      <c r="G55" s="6">
        <f>IFERROR(E55*F55,0)</f>
        <v/>
      </c>
    </row>
    <row r="56">
      <c r="A56" s="3" t="inlineStr">
        <is>
          <t>P005</t>
        </is>
      </c>
      <c r="B56" s="3" t="inlineStr">
        <is>
          <t>2026-02-25</t>
        </is>
      </c>
      <c r="C56" s="3" t="inlineStr">
        <is>
          <t>Centre</t>
        </is>
      </c>
      <c r="D56" s="3" t="inlineStr">
        <is>
          <t>Jean</t>
        </is>
      </c>
      <c r="E56" s="3" t="n">
        <v>1</v>
      </c>
      <c r="F56" s="4">
        <f>XLOOKUP(A56,Produits!A$4:A$11,Produits!C$4:C$11,"Code inconnu")</f>
        <v/>
      </c>
      <c r="G56" s="4">
        <f>IFERROR(E56*F56,0)</f>
        <v/>
      </c>
    </row>
    <row r="57">
      <c r="A57" s="5" t="inlineStr">
        <is>
          <t>P006</t>
        </is>
      </c>
      <c r="B57" s="5" t="inlineStr">
        <is>
          <t>2026-02-26</t>
        </is>
      </c>
      <c r="C57" s="5" t="inlineStr">
        <is>
          <t>Ouest</t>
        </is>
      </c>
      <c r="D57" s="5" t="inlineStr">
        <is>
          <t>Aminata</t>
        </is>
      </c>
      <c r="E57" s="5" t="n">
        <v>3</v>
      </c>
      <c r="F57" s="6">
        <f>XLOOKUP(A57,Produits!A$4:A$11,Produits!C$4:C$11,"Code inconnu")</f>
        <v/>
      </c>
      <c r="G57" s="6">
        <f>IFERROR(E57*F57,0)</f>
        <v/>
      </c>
    </row>
    <row r="58">
      <c r="A58" s="3" t="inlineStr">
        <is>
          <t>P007</t>
        </is>
      </c>
      <c r="B58" s="3" t="inlineStr">
        <is>
          <t>2026-02-27</t>
        </is>
      </c>
      <c r="C58" s="3" t="inlineStr">
        <is>
          <t>Export</t>
        </is>
      </c>
      <c r="D58" s="3" t="inlineStr">
        <is>
          <t>Awa</t>
        </is>
      </c>
      <c r="E58" s="3" t="n">
        <v>2</v>
      </c>
      <c r="F58" s="4">
        <f>XLOOKUP(A58,Produits!A$4:A$11,Produits!C$4:C$11,"Code inconnu")</f>
        <v/>
      </c>
      <c r="G58" s="4">
        <f>IFERROR(E58*F58,0)</f>
        <v/>
      </c>
    </row>
    <row r="59">
      <c r="A59" s="5" t="inlineStr">
        <is>
          <t>P008</t>
        </is>
      </c>
      <c r="B59" s="5" t="inlineStr">
        <is>
          <t>2026-02-28</t>
        </is>
      </c>
      <c r="C59" s="5" t="inlineStr">
        <is>
          <t>Nord</t>
        </is>
      </c>
      <c r="D59" s="5" t="inlineStr">
        <is>
          <t>Moussa</t>
        </is>
      </c>
      <c r="E59" s="5" t="n">
        <v>2</v>
      </c>
      <c r="F59" s="6">
        <f>XLOOKUP(A59,Produits!A$4:A$11,Produits!C$4:C$11,"Code inconnu")</f>
        <v/>
      </c>
      <c r="G59" s="6">
        <f>IFERROR(E59*F59,0)</f>
        <v/>
      </c>
    </row>
    <row r="60">
      <c r="A60" s="3" t="inlineStr">
        <is>
          <t>P001</t>
        </is>
      </c>
      <c r="B60" s="3" t="inlineStr">
        <is>
          <t>2026-02-01</t>
        </is>
      </c>
      <c r="C60" s="3" t="inlineStr">
        <is>
          <t>Sud</t>
        </is>
      </c>
      <c r="D60" s="3" t="inlineStr">
        <is>
          <t>Idrissa</t>
        </is>
      </c>
      <c r="E60" s="3" t="n">
        <v>6</v>
      </c>
      <c r="F60" s="4">
        <f>XLOOKUP(A60,Produits!A$4:A$11,Produits!C$4:C$11,"Code inconnu")</f>
        <v/>
      </c>
      <c r="G60" s="4">
        <f>IFERROR(E60*F60,0)</f>
        <v/>
      </c>
    </row>
    <row r="61">
      <c r="A61" s="5" t="inlineStr">
        <is>
          <t>P002</t>
        </is>
      </c>
      <c r="B61" s="5" t="inlineStr">
        <is>
          <t>2026-02-02</t>
        </is>
      </c>
      <c r="C61" s="5" t="inlineStr">
        <is>
          <t>Centre</t>
        </is>
      </c>
      <c r="D61" s="5" t="inlineStr">
        <is>
          <t>Fatou</t>
        </is>
      </c>
      <c r="E61" s="5" t="n">
        <v>6</v>
      </c>
      <c r="F61" s="6">
        <f>XLOOKUP(A61,Produits!A$4:A$11,Produits!C$4:C$11,"Code inconnu")</f>
        <v/>
      </c>
      <c r="G61" s="6">
        <f>IFERROR(E61*F61,0)</f>
        <v/>
      </c>
    </row>
    <row r="62">
      <c r="A62" s="3" t="inlineStr">
        <is>
          <t>P003</t>
        </is>
      </c>
      <c r="B62" s="3" t="inlineStr">
        <is>
          <t>2026-02-03</t>
        </is>
      </c>
      <c r="C62" s="3" t="inlineStr">
        <is>
          <t>Ouest</t>
        </is>
      </c>
      <c r="D62" s="3" t="inlineStr">
        <is>
          <t>Jean</t>
        </is>
      </c>
      <c r="E62" s="3" t="n">
        <v>2</v>
      </c>
      <c r="F62" s="4">
        <f>XLOOKUP(A62,Produits!A$4:A$11,Produits!C$4:C$11,"Code inconnu")</f>
        <v/>
      </c>
      <c r="G62" s="4">
        <f>IFERROR(E62*F62,0)</f>
        <v/>
      </c>
    </row>
    <row r="63">
      <c r="A63" s="5" t="inlineStr">
        <is>
          <t>P004</t>
        </is>
      </c>
      <c r="B63" s="5" t="inlineStr">
        <is>
          <t>2026-02-04</t>
        </is>
      </c>
      <c r="C63" s="5" t="inlineStr">
        <is>
          <t>Export</t>
        </is>
      </c>
      <c r="D63" s="5" t="inlineStr">
        <is>
          <t>Aminata</t>
        </is>
      </c>
      <c r="E63" s="5" t="n">
        <v>4</v>
      </c>
      <c r="F63" s="6">
        <f>XLOOKUP(A63,Produits!A$4:A$11,Produits!C$4:C$11,"Code inconnu")</f>
        <v/>
      </c>
      <c r="G63" s="6">
        <f>IFERROR(E63*F63,0)</f>
        <v/>
      </c>
    </row>
    <row r="64">
      <c r="A64" s="3" t="inlineStr">
        <is>
          <t>P005</t>
        </is>
      </c>
      <c r="B64" s="3" t="inlineStr">
        <is>
          <t>2026-02-05</t>
        </is>
      </c>
      <c r="C64" s="3" t="inlineStr">
        <is>
          <t>Nord</t>
        </is>
      </c>
      <c r="D64" s="3" t="inlineStr">
        <is>
          <t>Awa</t>
        </is>
      </c>
      <c r="E64" s="3" t="n">
        <v>2</v>
      </c>
      <c r="F64" s="4">
        <f>XLOOKUP(A64,Produits!A$4:A$11,Produits!C$4:C$11,"Code inconnu")</f>
        <v/>
      </c>
      <c r="G64" s="4">
        <f>IFERROR(E64*F64,0)</f>
        <v/>
      </c>
    </row>
    <row r="65">
      <c r="A65" s="5" t="inlineStr">
        <is>
          <t>P006</t>
        </is>
      </c>
      <c r="B65" s="5" t="inlineStr">
        <is>
          <t>2026-02-06</t>
        </is>
      </c>
      <c r="C65" s="5" t="inlineStr">
        <is>
          <t>Sud</t>
        </is>
      </c>
      <c r="D65" s="5" t="inlineStr">
        <is>
          <t>Moussa</t>
        </is>
      </c>
      <c r="E65" s="5" t="n">
        <v>3</v>
      </c>
      <c r="F65" s="6">
        <f>XLOOKUP(A65,Produits!A$4:A$11,Produits!C$4:C$11,"Code inconnu")</f>
        <v/>
      </c>
      <c r="G65" s="6">
        <f>IFERROR(E65*F65,0)</f>
        <v/>
      </c>
    </row>
    <row r="66">
      <c r="A66" s="3" t="inlineStr">
        <is>
          <t>P007</t>
        </is>
      </c>
      <c r="B66" s="3" t="inlineStr">
        <is>
          <t>2026-02-07</t>
        </is>
      </c>
      <c r="C66" s="3" t="inlineStr">
        <is>
          <t>Centre</t>
        </is>
      </c>
      <c r="D66" s="3" t="inlineStr">
        <is>
          <t>Idrissa</t>
        </is>
      </c>
      <c r="E66" s="3" t="n">
        <v>6</v>
      </c>
      <c r="F66" s="4">
        <f>XLOOKUP(A66,Produits!A$4:A$11,Produits!C$4:C$11,"Code inconnu")</f>
        <v/>
      </c>
      <c r="G66" s="4">
        <f>IFERROR(E66*F66,0)</f>
        <v/>
      </c>
    </row>
    <row r="67">
      <c r="A67" s="5" t="inlineStr">
        <is>
          <t>P008</t>
        </is>
      </c>
      <c r="B67" s="5" t="inlineStr">
        <is>
          <t>2026-02-08</t>
        </is>
      </c>
      <c r="C67" s="5" t="inlineStr">
        <is>
          <t>Ouest</t>
        </is>
      </c>
      <c r="D67" s="5" t="inlineStr">
        <is>
          <t>Fatou</t>
        </is>
      </c>
      <c r="E67" s="5" t="n">
        <v>3</v>
      </c>
      <c r="F67" s="6">
        <f>XLOOKUP(A67,Produits!A$4:A$11,Produits!C$4:C$11,"Code inconnu")</f>
        <v/>
      </c>
      <c r="G67" s="6">
        <f>IFERROR(E67*F67,0)</f>
        <v/>
      </c>
    </row>
    <row r="68">
      <c r="A68" s="3" t="inlineStr">
        <is>
          <t>P001</t>
        </is>
      </c>
      <c r="B68" s="3" t="inlineStr">
        <is>
          <t>2026-02-09</t>
        </is>
      </c>
      <c r="C68" s="3" t="inlineStr">
        <is>
          <t>Export</t>
        </is>
      </c>
      <c r="D68" s="3" t="inlineStr">
        <is>
          <t>Jean</t>
        </is>
      </c>
      <c r="E68" s="3" t="n">
        <v>2</v>
      </c>
      <c r="F68" s="4">
        <f>XLOOKUP(A68,Produits!A$4:A$11,Produits!C$4:C$11,"Code inconnu")</f>
        <v/>
      </c>
      <c r="G68" s="4">
        <f>IFERROR(E68*F68,0)</f>
        <v/>
      </c>
    </row>
    <row r="69">
      <c r="A69" s="5" t="inlineStr">
        <is>
          <t>P002</t>
        </is>
      </c>
      <c r="B69" s="5" t="inlineStr">
        <is>
          <t>2026-02-10</t>
        </is>
      </c>
      <c r="C69" s="5" t="inlineStr">
        <is>
          <t>Nord</t>
        </is>
      </c>
      <c r="D69" s="5" t="inlineStr">
        <is>
          <t>Aminata</t>
        </is>
      </c>
      <c r="E69" s="5" t="n">
        <v>3</v>
      </c>
      <c r="F69" s="6">
        <f>XLOOKUP(A69,Produits!A$4:A$11,Produits!C$4:C$11,"Code inconnu")</f>
        <v/>
      </c>
      <c r="G69" s="6">
        <f>IFERROR(E69*F69,0)</f>
        <v/>
      </c>
    </row>
    <row r="70">
      <c r="A70" s="3" t="inlineStr">
        <is>
          <t>P003</t>
        </is>
      </c>
      <c r="B70" s="3" t="inlineStr">
        <is>
          <t>2026-02-11</t>
        </is>
      </c>
      <c r="C70" s="3" t="inlineStr">
        <is>
          <t>Sud</t>
        </is>
      </c>
      <c r="D70" s="3" t="inlineStr">
        <is>
          <t>Awa</t>
        </is>
      </c>
      <c r="E70" s="3" t="n">
        <v>3</v>
      </c>
      <c r="F70" s="4">
        <f>XLOOKUP(A70,Produits!A$4:A$11,Produits!C$4:C$11,"Code inconnu")</f>
        <v/>
      </c>
      <c r="G70" s="4">
        <f>IFERROR(E70*F70,0)</f>
        <v/>
      </c>
    </row>
    <row r="71">
      <c r="A71" s="5" t="inlineStr">
        <is>
          <t>P004</t>
        </is>
      </c>
      <c r="B71" s="5" t="inlineStr">
        <is>
          <t>2026-02-12</t>
        </is>
      </c>
      <c r="C71" s="5" t="inlineStr">
        <is>
          <t>Centre</t>
        </is>
      </c>
      <c r="D71" s="5" t="inlineStr">
        <is>
          <t>Moussa</t>
        </is>
      </c>
      <c r="E71" s="5" t="n">
        <v>3</v>
      </c>
      <c r="F71" s="6">
        <f>XLOOKUP(A71,Produits!A$4:A$11,Produits!C$4:C$11,"Code inconnu")</f>
        <v/>
      </c>
      <c r="G71" s="6">
        <f>IFERROR(E71*F71,0)</f>
        <v/>
      </c>
    </row>
    <row r="72">
      <c r="A72" s="3" t="inlineStr">
        <is>
          <t>P005</t>
        </is>
      </c>
      <c r="B72" s="3" t="inlineStr">
        <is>
          <t>2026-02-13</t>
        </is>
      </c>
      <c r="C72" s="3" t="inlineStr">
        <is>
          <t>Ouest</t>
        </is>
      </c>
      <c r="D72" s="3" t="inlineStr">
        <is>
          <t>Idrissa</t>
        </is>
      </c>
      <c r="E72" s="3" t="n">
        <v>4</v>
      </c>
      <c r="F72" s="4">
        <f>XLOOKUP(A72,Produits!A$4:A$11,Produits!C$4:C$11,"Code inconnu")</f>
        <v/>
      </c>
      <c r="G72" s="4">
        <f>IFERROR(E72*F72,0)</f>
        <v/>
      </c>
    </row>
    <row r="73">
      <c r="A73" s="5" t="inlineStr">
        <is>
          <t>P006</t>
        </is>
      </c>
      <c r="B73" s="5" t="inlineStr">
        <is>
          <t>2026-02-14</t>
        </is>
      </c>
      <c r="C73" s="5" t="inlineStr">
        <is>
          <t>Export</t>
        </is>
      </c>
      <c r="D73" s="5" t="inlineStr">
        <is>
          <t>Fatou</t>
        </is>
      </c>
      <c r="E73" s="5" t="n">
        <v>2</v>
      </c>
      <c r="F73" s="6">
        <f>XLOOKUP(A73,Produits!A$4:A$11,Produits!C$4:C$11,"Code inconnu")</f>
        <v/>
      </c>
      <c r="G73" s="6">
        <f>IFERROR(E73*F73,0)</f>
        <v/>
      </c>
    </row>
    <row r="74">
      <c r="A74" s="3" t="inlineStr">
        <is>
          <t>P007</t>
        </is>
      </c>
      <c r="B74" s="3" t="inlineStr">
        <is>
          <t>2026-02-15</t>
        </is>
      </c>
      <c r="C74" s="3" t="inlineStr">
        <is>
          <t>Nord</t>
        </is>
      </c>
      <c r="D74" s="3" t="inlineStr">
        <is>
          <t>Jean</t>
        </is>
      </c>
      <c r="E74" s="3" t="n">
        <v>3</v>
      </c>
      <c r="F74" s="4">
        <f>XLOOKUP(A74,Produits!A$4:A$11,Produits!C$4:C$11,"Code inconnu")</f>
        <v/>
      </c>
      <c r="G74" s="4">
        <f>IFERROR(E74*F74,0)</f>
        <v/>
      </c>
    </row>
    <row r="75">
      <c r="A75" s="5" t="inlineStr">
        <is>
          <t>P008</t>
        </is>
      </c>
      <c r="B75" s="5" t="inlineStr">
        <is>
          <t>2026-02-16</t>
        </is>
      </c>
      <c r="C75" s="5" t="inlineStr">
        <is>
          <t>Sud</t>
        </is>
      </c>
      <c r="D75" s="5" t="inlineStr">
        <is>
          <t>Aminata</t>
        </is>
      </c>
      <c r="E75" s="5" t="n">
        <v>1</v>
      </c>
      <c r="F75" s="6">
        <f>XLOOKUP(A75,Produits!A$4:A$11,Produits!C$4:C$11,"Code inconnu")</f>
        <v/>
      </c>
      <c r="G75" s="6">
        <f>IFERROR(E75*F75,0)</f>
        <v/>
      </c>
    </row>
    <row r="76">
      <c r="A76" s="3" t="inlineStr">
        <is>
          <t>P001</t>
        </is>
      </c>
      <c r="B76" s="3" t="inlineStr">
        <is>
          <t>2026-02-17</t>
        </is>
      </c>
      <c r="C76" s="3" t="inlineStr">
        <is>
          <t>Centre</t>
        </is>
      </c>
      <c r="D76" s="3" t="inlineStr">
        <is>
          <t>Awa</t>
        </is>
      </c>
      <c r="E76" s="3" t="n">
        <v>5</v>
      </c>
      <c r="F76" s="4">
        <f>XLOOKUP(A76,Produits!A$4:A$11,Produits!C$4:C$11,"Code inconnu")</f>
        <v/>
      </c>
      <c r="G76" s="4">
        <f>IFERROR(E76*F76,0)</f>
        <v/>
      </c>
    </row>
    <row r="77">
      <c r="A77" s="5" t="inlineStr">
        <is>
          <t>P002</t>
        </is>
      </c>
      <c r="B77" s="5" t="inlineStr">
        <is>
          <t>2026-02-18</t>
        </is>
      </c>
      <c r="C77" s="5" t="inlineStr">
        <is>
          <t>Ouest</t>
        </is>
      </c>
      <c r="D77" s="5" t="inlineStr">
        <is>
          <t>Moussa</t>
        </is>
      </c>
      <c r="E77" s="5" t="n">
        <v>2</v>
      </c>
      <c r="F77" s="6">
        <f>XLOOKUP(A77,Produits!A$4:A$11,Produits!C$4:C$11,"Code inconnu")</f>
        <v/>
      </c>
      <c r="G77" s="6">
        <f>IFERROR(E77*F77,0)</f>
        <v/>
      </c>
    </row>
    <row r="78">
      <c r="A78" s="3" t="inlineStr">
        <is>
          <t>P003</t>
        </is>
      </c>
      <c r="B78" s="3" t="inlineStr">
        <is>
          <t>2026-02-19</t>
        </is>
      </c>
      <c r="C78" s="3" t="inlineStr">
        <is>
          <t>Export</t>
        </is>
      </c>
      <c r="D78" s="3" t="inlineStr">
        <is>
          <t>Idrissa</t>
        </is>
      </c>
      <c r="E78" s="3" t="n">
        <v>4</v>
      </c>
      <c r="F78" s="4">
        <f>XLOOKUP(A78,Produits!A$4:A$11,Produits!C$4:C$11,"Code inconnu")</f>
        <v/>
      </c>
      <c r="G78" s="4">
        <f>IFERROR(E78*F78,0)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4" customWidth="1" min="3" max="3"/>
    <col width="14" customWidth="1" min="4" max="4"/>
    <col width="12" customWidth="1" min="5" max="5"/>
  </cols>
  <sheetData>
    <row r="1">
      <c r="A1" s="7" t="inlineStr">
        <is>
          <t>RÉFÉRENTIEL PRODUITS &amp; TARIFS OFFICIELS</t>
        </is>
      </c>
    </row>
    <row r="2"/>
    <row r="3">
      <c r="A3" s="8" t="inlineStr">
        <is>
          <t>Code</t>
        </is>
      </c>
      <c r="B3" s="8" t="inlineStr">
        <is>
          <t>Produit</t>
        </is>
      </c>
      <c r="C3" s="8" t="inlineStr">
        <is>
          <t>Prix</t>
        </is>
      </c>
      <c r="D3" s="8" t="inlineStr">
        <is>
          <t>Catégorie</t>
        </is>
      </c>
    </row>
    <row r="4">
      <c r="A4" s="3" t="inlineStr">
        <is>
          <t>P001</t>
        </is>
      </c>
      <c r="B4" s="3" t="inlineStr">
        <is>
          <t>Clavier Professionnel</t>
        </is>
      </c>
      <c r="C4" s="4" t="n">
        <v>18000</v>
      </c>
      <c r="D4" s="3" t="inlineStr">
        <is>
          <t>Accessoires</t>
        </is>
      </c>
    </row>
    <row r="5">
      <c r="A5" s="3" t="inlineStr">
        <is>
          <t>P002</t>
        </is>
      </c>
      <c r="B5" s="3" t="inlineStr">
        <is>
          <t>Souris Ergonomique</t>
        </is>
      </c>
      <c r="C5" s="4" t="n">
        <v>9000</v>
      </c>
      <c r="D5" s="3" t="inlineStr">
        <is>
          <t>Accessoires</t>
        </is>
      </c>
    </row>
    <row r="6">
      <c r="A6" s="3" t="inlineStr">
        <is>
          <t>P003</t>
        </is>
      </c>
      <c r="B6" s="3" t="inlineStr">
        <is>
          <t>Écran 27 pouces 4K</t>
        </is>
      </c>
      <c r="C6" s="4" t="n">
        <v>145000</v>
      </c>
      <c r="D6" s="3" t="inlineStr">
        <is>
          <t>Matériel</t>
        </is>
      </c>
    </row>
    <row r="7">
      <c r="A7" s="3" t="inlineStr">
        <is>
          <t>P004</t>
        </is>
      </c>
      <c r="B7" s="3" t="inlineStr">
        <is>
          <t>Casque Réduction Bruit</t>
        </is>
      </c>
      <c r="C7" s="4" t="n">
        <v>32000</v>
      </c>
      <c r="D7" s="3" t="inlineStr">
        <is>
          <t>Audio</t>
        </is>
      </c>
    </row>
    <row r="8">
      <c r="A8" s="3" t="inlineStr">
        <is>
          <t>P005</t>
        </is>
      </c>
      <c r="B8" s="3" t="inlineStr">
        <is>
          <t>Station USB-C Universelle</t>
        </is>
      </c>
      <c r="C8" s="4" t="n">
        <v>24000</v>
      </c>
      <c r="D8" s="3" t="inlineStr">
        <is>
          <t>Connectique</t>
        </is>
      </c>
    </row>
    <row r="9">
      <c r="A9" s="3" t="inlineStr">
        <is>
          <t>P006</t>
        </is>
      </c>
      <c r="B9" s="3" t="inlineStr">
        <is>
          <t>Support Ventilateur PC</t>
        </is>
      </c>
      <c r="C9" s="4" t="n">
        <v>15000</v>
      </c>
      <c r="D9" s="3" t="inlineStr">
        <is>
          <t>Accessoires</t>
        </is>
      </c>
    </row>
    <row r="10">
      <c r="A10" s="3" t="inlineStr">
        <is>
          <t>P007</t>
        </is>
      </c>
      <c r="B10" s="3" t="inlineStr">
        <is>
          <t>Webcam Full HD Pro</t>
        </is>
      </c>
      <c r="C10" s="4" t="n">
        <v>42000</v>
      </c>
      <c r="D10" s="3" t="inlineStr">
        <is>
          <t>Audio/Vidéo</t>
        </is>
      </c>
    </row>
    <row r="11">
      <c r="A11" s="3" t="inlineStr">
        <is>
          <t>P008</t>
        </is>
      </c>
      <c r="B11" s="3" t="inlineStr">
        <is>
          <t>Câble HDMI 4K Renforcé</t>
        </is>
      </c>
      <c r="C11" s="4" t="n">
        <v>8000</v>
      </c>
      <c r="D11" s="3" t="inlineStr">
        <is>
          <t>Connectique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1" customWidth="1" min="1" max="1"/>
    <col width="45" customWidth="1" min="2" max="2"/>
    <col width="50" customWidth="1" min="3" max="3"/>
    <col width="16" customWidth="1" min="4" max="4"/>
    <col width="12" customWidth="1" min="5" max="5"/>
  </cols>
  <sheetData>
    <row r="1">
      <c r="A1" s="9" t="inlineStr">
        <is>
          <t>SYNTHÈSE EXÉCUTIVE DES KPI COMMERCIAUX</t>
        </is>
      </c>
    </row>
    <row r="2"/>
    <row r="3">
      <c r="A3" s="2" t="inlineStr">
        <is>
          <t>Indicateur Clé</t>
        </is>
      </c>
      <c r="B3" s="2" t="inlineStr">
        <is>
          <t>Formule / Périmètre</t>
        </is>
      </c>
      <c r="C3" s="2" t="inlineStr">
        <is>
          <t>Valeur Calculée</t>
        </is>
      </c>
      <c r="D3" s="2" t="inlineStr">
        <is>
          <t>Objectif</t>
        </is>
      </c>
    </row>
    <row r="4">
      <c r="A4" s="3" t="inlineStr">
        <is>
          <t>Chiffre d'Affaires Global</t>
        </is>
      </c>
      <c r="B4" s="3">
        <f>SUM(Ventes!G4:G78)</f>
        <v/>
      </c>
      <c r="C4" s="4">
        <f>SUM(Ventes!G4:G78)</f>
        <v/>
      </c>
      <c r="D4" s="4" t="n">
        <v>15000000</v>
      </c>
    </row>
    <row r="5">
      <c r="A5" s="5" t="inlineStr">
        <is>
          <t>Volume de Ventes (Quantité)</t>
        </is>
      </c>
      <c r="B5" s="5">
        <f>SUM(Ventes!E4:E78)</f>
        <v/>
      </c>
      <c r="C5" s="10">
        <f>SUM(Ventes!E4:E78)</f>
        <v/>
      </c>
      <c r="D5" s="10" t="n">
        <v>250</v>
      </c>
    </row>
    <row r="6">
      <c r="A6" s="3" t="inlineStr">
        <is>
          <t>CA Région Nord (SOMME.SI)</t>
        </is>
      </c>
      <c r="B6" s="3">
        <f>SUMIF(Ventes!C4:C78,"Nord",Ventes!G4:G78)</f>
        <v/>
      </c>
      <c r="C6" s="4">
        <f>SUMIF(Ventes!C4:C78,"Nord",Ventes!G4:G78)</f>
        <v/>
      </c>
      <c r="D6" s="4" t="n">
        <v>4000000</v>
      </c>
    </row>
    <row r="7">
      <c r="A7" s="5" t="inlineStr">
        <is>
          <t>CA Région Sud (SOMME.SI)</t>
        </is>
      </c>
      <c r="B7" s="5">
        <f>SUMIF(Ventes!C4:C78,"Sud",Ventes!G4:G78)</f>
        <v/>
      </c>
      <c r="C7" s="6">
        <f>SUMIF(Ventes!C4:C78,"Sud",Ventes!G4:G78)</f>
        <v/>
      </c>
      <c r="D7" s="6" t="n">
        <v>3500000</v>
      </c>
    </row>
    <row r="8">
      <c r="A8" s="3" t="inlineStr">
        <is>
          <t>CA Commercial Awa (SOMME.SI.ENS)</t>
        </is>
      </c>
      <c r="B8" s="3">
        <f>SUMIFS(Ventes!G4:G78,Ventes!D4:D78,"Awa")</f>
        <v/>
      </c>
      <c r="C8" s="4">
        <f>SUMIFS(Ventes!G4:G78,Ventes!D4:D78,"Awa")</f>
        <v/>
      </c>
      <c r="D8" s="4" t="n">
        <v>3000000</v>
      </c>
    </row>
    <row r="9">
      <c r="A9" s="5" t="inlineStr">
        <is>
          <t>Nombre Commandes &gt; 100k (NB.SI)</t>
        </is>
      </c>
      <c r="B9" s="5">
        <f>COUNTIF(Ventes!G4:G78,"&gt;100000")</f>
        <v/>
      </c>
      <c r="C9" s="10">
        <f>COUNTIF(Ventes!G4:G78,"&gt;100000")</f>
        <v/>
      </c>
      <c r="D9" s="10" t="n">
        <v>15</v>
      </c>
    </row>
    <row r="10">
      <c r="A10" s="3" t="inlineStr">
        <is>
          <t>Panier Moyen (MOYENNE)</t>
        </is>
      </c>
      <c r="B10" s="3">
        <f>AVERAGE(Ventes!G4:G78)</f>
        <v/>
      </c>
      <c r="C10" s="4">
        <f>AVERAGE(Ventes!G4:G78)</f>
        <v/>
      </c>
      <c r="D10" s="4" t="n">
        <v>120000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2026-10-10T16:06:15Z</dcterms:created>
  <dcterms:modified xmlns:dcterms="http://purl.org/dc/terms/" xmlns:xsi="http://www.w3.org/2001/XMLSchema-instance" xsi:type="dcterms:W3CDTF">2026-10-10T16:06:15Z</dcterms:modified>
</cp:coreProperties>
</file>