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entes" sheetId="1" r:id="rId1"/>
  </sheets>
  <calcPr calcId="191029" fullCalcOnLoad="1" forceFullCalc="1"/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color rgb="FFFFFFFF"/>
      <sz val="16"/>
      <name val="Calibri"/>
    </font>
    <font>
      <b/>
      <color rgb="FF06251C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6251C"/>
        <bgColor indexed="64"/>
      </patternFill>
    </fill>
    <fill>
      <patternFill patternType="solid">
        <fgColor rgb="FF00BD72"/>
        <bgColor indexed="64"/>
      </patternFill>
    </fill>
  </fills>
  <borders count="2">
    <border/>
    <border>
      <left/>
      <right/>
      <top/>
      <bottom style="thin">
        <color rgb="FF0F5132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0" fontId="2" fillId="3" borderId="1" xfId="0" applyFont="1" applyFill="1" applyBorder="1"/>
    <xf numFmtId="14" fontId="0" fillId="0" borderId="0" xfId="0" applyNumberFormat="1"/>
    <xf numFmtId="164" fontId="0" fillId="0" borderId="0" xfId="0" applyNumberFormat="1"/>
  </cellXfs>
  <numFmts count="1">
    <numFmt numFmtId="164" formatCode="# ##0 &quot;FCFA&quot;"/>
  </numFmt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M11"/>
  <sheetViews>
    <sheetView workbookViewId="0">
      <pane ySplit="3" topLeftCell="A4" activePane="bottomLeft" state="frozen"/>
    </sheetView>
  </sheetViews>
  <sheetFormatPr defaultRowHeight="15"/>
  <cols>
    <col min="1" max="1" width="12" customWidth="1"/>
    <col min="2" max="2" width="12" customWidth="1"/>
    <col min="3" max="3" width="18" customWidth="1"/>
    <col min="4" max="4" width="12" customWidth="1"/>
    <col min="5" max="5" width="14" customWidth="1"/>
    <col min="6" max="6" width="10" customWidth="1"/>
    <col min="7" max="7" width="14" customWidth="1"/>
    <col min="8" max="8" width="10" customWidth="1"/>
    <col min="9" max="9" width="14" customWidth="1"/>
    <col min="10" max="10" width="14" customWidth="1"/>
    <col min="11" max="11" width="3" customWidth="1"/>
    <col min="12" max="12" width="20" customWidth="1"/>
    <col min="13" max="13" width="18" customWidth="1"/>
  </cols>
  <sheetData>
    <row r="1" ht="30" customHeight="1">
      <c r="A1" s="1" t="inlineStr">
        <is>
          <t>KORYXA — Excel Data Analyst — Fondamentaux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>
      <c r="A2" s="0"/>
      <c r="B2" s="0"/>
      <c r="C2" s="0"/>
      <c r="D2" s="0"/>
      <c r="E2" s="0"/>
      <c r="F2" s="0"/>
      <c r="G2" s="0"/>
      <c r="H2" s="0"/>
      <c r="I2" s="0"/>
      <c r="J2" s="0"/>
      <c r="K2" s="0"/>
      <c r="L2" s="0"/>
      <c r="M2" s="0"/>
    </row>
    <row r="3">
      <c r="A3" s="2" t="inlineStr">
        <is>
          <t>Date</t>
        </is>
      </c>
      <c r="B3" s="2" t="inlineStr">
        <is>
          <t>Référence</t>
        </is>
      </c>
      <c r="C3" s="2" t="inlineStr">
        <is>
          <t>Produit</t>
        </is>
      </c>
      <c r="D3" s="2" t="inlineStr">
        <is>
          <t>Région</t>
        </is>
      </c>
      <c r="E3" s="2" t="inlineStr">
        <is>
          <t>Commercial</t>
        </is>
      </c>
      <c r="F3" s="2" t="inlineStr">
        <is>
          <t>Quantité</t>
        </is>
      </c>
      <c r="G3" s="2" t="inlineStr">
        <is>
          <t>Prix unitaire</t>
        </is>
      </c>
      <c r="H3" s="2" t="inlineStr">
        <is>
          <t>Remise</t>
        </is>
      </c>
      <c r="I3" s="2" t="inlineStr">
        <is>
          <t>CA brut</t>
        </is>
      </c>
      <c r="J3" s="2" t="inlineStr">
        <is>
          <t>CA net</t>
        </is>
      </c>
      <c r="K3" s="2"/>
      <c r="L3" s="2" t="inlineStr">
        <is>
          <t>Paramètre</t>
        </is>
      </c>
      <c r="M3" s="2" t="inlineStr">
        <is>
          <t>Valeur</t>
        </is>
      </c>
    </row>
    <row r="4">
      <c r="A4" s="3">
        <v>46025</v>
      </c>
      <c r="B4" s="0" t="inlineStr">
        <is>
          <t>V-001</t>
        </is>
      </c>
      <c r="C4" s="0" t="inlineStr">
        <is>
          <t>Clavier</t>
        </is>
      </c>
      <c r="D4" s="0" t="inlineStr">
        <is>
          <t>Nord</t>
        </is>
      </c>
      <c r="E4" s="0" t="inlineStr">
        <is>
          <t>Awa</t>
        </is>
      </c>
      <c r="F4" s="0">
        <v>3</v>
      </c>
      <c r="G4" s="0">
        <v>18000</v>
      </c>
      <c r="H4" s="0">
        <v>0.05</v>
      </c>
      <c r="I4" s="0">
        <f>F4*G4</f>
        <v>0</v>
      </c>
      <c r="J4" s="0">
        <f>I4*(1-H4)</f>
        <v>0</v>
      </c>
      <c r="K4" s="0"/>
      <c r="L4" s="0" t="inlineStr">
        <is>
          <t>Taux TVA</t>
        </is>
      </c>
      <c r="M4" s="0">
        <v>0.18</v>
      </c>
    </row>
    <row r="5">
      <c r="A5" s="3">
        <v>46026</v>
      </c>
      <c r="B5" s="0" t="inlineStr">
        <is>
          <t>V-002</t>
        </is>
      </c>
      <c r="C5" s="0" t="inlineStr">
        <is>
          <t>Souris</t>
        </is>
      </c>
      <c r="D5" s="0" t="inlineStr">
        <is>
          <t>Sud</t>
        </is>
      </c>
      <c r="E5" s="0" t="inlineStr">
        <is>
          <t>Moussa</t>
        </is>
      </c>
      <c r="F5" s="0">
        <v>8</v>
      </c>
      <c r="G5" s="0">
        <v>9000</v>
      </c>
      <c r="H5" s="0">
        <v>0</v>
      </c>
      <c r="I5" s="0">
        <f>F5*G5</f>
        <v>0</v>
      </c>
      <c r="J5" s="0">
        <f>I5*(1-H5)</f>
        <v>0</v>
      </c>
      <c r="K5" s="0"/>
      <c r="L5" s="0" t="inlineStr">
        <is>
          <t>Objectif mensuel</t>
        </is>
      </c>
      <c r="M5" s="0">
        <v>700000</v>
      </c>
    </row>
    <row r="6">
      <c r="A6" s="3">
        <v>46028</v>
      </c>
      <c r="B6" s="0" t="inlineStr">
        <is>
          <t>V-003</t>
        </is>
      </c>
      <c r="C6" s="0" t="inlineStr">
        <is>
          <t>Écran</t>
        </is>
      </c>
      <c r="D6" s="0" t="inlineStr">
        <is>
          <t>Ouest</t>
        </is>
      </c>
      <c r="E6" s="0" t="inlineStr">
        <is>
          <t>Fatou</t>
        </is>
      </c>
      <c r="F6" s="0">
        <v>2</v>
      </c>
      <c r="G6" s="0">
        <v>145000</v>
      </c>
      <c r="H6" s="0">
        <v>0.1</v>
      </c>
      <c r="I6" s="0">
        <f>F6*G6</f>
        <v>0</v>
      </c>
      <c r="J6" s="0">
        <f>I6*(1-H6)</f>
        <v>0</v>
      </c>
      <c r="K6" s="0"/>
      <c r="L6" s="0" t="inlineStr">
        <is>
          <t>Total CA net</t>
        </is>
      </c>
      <c r="M6" s="0">
        <f>SUM(J4:J11)</f>
        <v>0</v>
      </c>
    </row>
    <row r="7">
      <c r="A7" s="3">
        <v>46030</v>
      </c>
      <c r="B7" s="0" t="inlineStr">
        <is>
          <t>V-004</t>
        </is>
      </c>
      <c r="C7" s="0" t="inlineStr">
        <is>
          <t>Clavier</t>
        </is>
      </c>
      <c r="D7" s="0" t="inlineStr">
        <is>
          <t>Nord</t>
        </is>
      </c>
      <c r="E7" s="0" t="inlineStr">
        <is>
          <t>Awa</t>
        </is>
      </c>
      <c r="F7" s="0">
        <v>5</v>
      </c>
      <c r="G7" s="0">
        <v>18000</v>
      </c>
      <c r="H7" s="0">
        <v>0.05</v>
      </c>
      <c r="I7" s="0">
        <f>F7*G7</f>
        <v>0</v>
      </c>
      <c r="J7" s="0">
        <f>I7*(1-H7)</f>
        <v>0</v>
      </c>
      <c r="K7" s="0"/>
      <c r="L7" s="0" t="inlineStr">
        <is>
          <t>Écart objectif</t>
        </is>
      </c>
      <c r="M7" s="0">
        <f>M6-M5</f>
        <v>0</v>
      </c>
    </row>
    <row r="8">
      <c r="A8" s="3">
        <v>46033</v>
      </c>
      <c r="B8" s="0" t="inlineStr">
        <is>
          <t>V-005</t>
        </is>
      </c>
      <c r="C8" s="0" t="inlineStr">
        <is>
          <t>Dock USB-C</t>
        </is>
      </c>
      <c r="D8" s="0" t="inlineStr">
        <is>
          <t>Centre</t>
        </is>
      </c>
      <c r="E8" s="0" t="inlineStr">
        <is>
          <t>Idrissa</t>
        </is>
      </c>
      <c r="F8" s="0">
        <v>4</v>
      </c>
      <c r="G8" s="0">
        <v>32000</v>
      </c>
      <c r="H8" s="0">
        <v>0</v>
      </c>
      <c r="I8" s="0">
        <f>F8*G8</f>
        <v>0</v>
      </c>
      <c r="J8" s="0">
        <f>I8*(1-H8)</f>
        <v>0</v>
      </c>
      <c r="K8" s="0"/>
      <c r="L8" s="0" t="inlineStr">
        <is>
          <t>Statut</t>
        </is>
      </c>
      <c r="M8" s="0">
        <f>IF(M6&gt;=M5,"Objectif atteint","À renforcer")</f>
        <v>0</v>
      </c>
    </row>
    <row r="9">
      <c r="A9" s="3">
        <v>46035</v>
      </c>
      <c r="B9" s="0" t="inlineStr">
        <is>
          <t>V-006</t>
        </is>
      </c>
      <c r="C9" s="0" t="inlineStr">
        <is>
          <t>Souris</t>
        </is>
      </c>
      <c r="D9" s="0" t="inlineStr">
        <is>
          <t>Sud</t>
        </is>
      </c>
      <c r="E9" s="0" t="inlineStr">
        <is>
          <t>Moussa</t>
        </is>
      </c>
      <c r="F9" s="0">
        <v>10</v>
      </c>
      <c r="G9" s="0">
        <v>9000</v>
      </c>
      <c r="H9" s="0">
        <v>0.03</v>
      </c>
      <c r="I9" s="0">
        <f>F9*G9</f>
        <v>0</v>
      </c>
      <c r="J9" s="0">
        <f>I9*(1-H9)</f>
        <v>0</v>
      </c>
    </row>
    <row r="10">
      <c r="A10" s="3">
        <v>46036</v>
      </c>
      <c r="B10" s="0" t="inlineStr">
        <is>
          <t>V-007</t>
        </is>
      </c>
      <c r="C10" s="0" t="inlineStr">
        <is>
          <t>Écran</t>
        </is>
      </c>
      <c r="D10" s="0" t="inlineStr">
        <is>
          <t>Ouest</t>
        </is>
      </c>
      <c r="E10" s="0" t="inlineStr">
        <is>
          <t>Fatou</t>
        </is>
      </c>
      <c r="F10" s="0">
        <v>1</v>
      </c>
      <c r="G10" s="0">
        <v>145000</v>
      </c>
      <c r="H10" s="0">
        <v>0</v>
      </c>
      <c r="I10" s="0">
        <f>F10*G10</f>
        <v>0</v>
      </c>
      <c r="J10" s="0">
        <f>I10*(1-H10)</f>
        <v>0</v>
      </c>
    </row>
    <row r="11">
      <c r="A11" s="3">
        <v>46039</v>
      </c>
      <c r="B11" s="0" t="inlineStr">
        <is>
          <t>V-008</t>
        </is>
      </c>
      <c r="C11" s="0" t="inlineStr">
        <is>
          <t>Casque</t>
        </is>
      </c>
      <c r="D11" s="0" t="inlineStr">
        <is>
          <t>Centre</t>
        </is>
      </c>
      <c r="E11" s="0" t="inlineStr">
        <is>
          <t>Idrissa</t>
        </is>
      </c>
      <c r="F11" s="0">
        <v>6</v>
      </c>
      <c r="G11" s="0">
        <v>24000</v>
      </c>
      <c r="H11" s="0">
        <v>0.05</v>
      </c>
      <c r="I11" s="0">
        <f>F11*G11</f>
        <v>0</v>
      </c>
      <c r="J11" s="0">
        <f>I11*(1-H11)</f>
        <v>0</v>
      </c>
    </row>
  </sheetData>
  <mergeCells count="1">
    <mergeCell ref="A1:M1"/>
  </mergeCells>
</worksheet>
</file>