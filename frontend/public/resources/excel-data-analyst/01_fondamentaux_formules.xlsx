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FCFA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5" borderId="1" pivotButton="0" quotePrefix="0" xfId="0"/>
    <xf numFmtId="165" fontId="3" fillId="5" borderId="1" pivotButton="0" quotePrefix="0" xfId="0"/>
    <xf numFmtId="164" fontId="3" fillId="5" borderId="1" pivotButton="0" quotePrefix="0" xfId="0"/>
    <xf numFmtId="165" fontId="0" fillId="4" borderId="1" pivotButton="0" quotePrefix="0" xfId="0"/>
    <xf numFmtId="0" fontId="4" fillId="0" borderId="2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28" customWidth="1" min="3" max="3"/>
    <col width="12" customWidth="1" min="4" max="4"/>
    <col width="13" customWidth="1" min="5" max="5"/>
    <col width="15" customWidth="1" min="6" max="6"/>
    <col width="16" customWidth="1" min="7" max="7"/>
    <col width="12" customWidth="1" min="8" max="8"/>
    <col width="20" customWidth="1" min="9" max="9"/>
    <col width="20" customWidth="1" min="10" max="10"/>
    <col width="12" customWidth="1" min="11" max="11"/>
    <col width="19" customWidth="1" min="12" max="12"/>
    <col width="15" customWidth="1" min="13" max="13"/>
  </cols>
  <sheetData>
    <row r="1" ht="36" customHeight="1">
      <c r="A1" s="1" t="inlineStr">
        <is>
          <t>KORYXA FORMATION — EXCEL DATA ANALYST : FONDAMENTAUX &amp; FORMULES</t>
        </is>
      </c>
    </row>
    <row r="2"/>
    <row r="3" ht="24" customHeight="1">
      <c r="A3" s="2" t="inlineStr">
        <is>
          <t>Date</t>
        </is>
      </c>
      <c r="B3" s="2" t="inlineStr">
        <is>
          <t>Référence</t>
        </is>
      </c>
      <c r="C3" s="2" t="inlineStr">
        <is>
          <t>Produit</t>
        </is>
      </c>
      <c r="D3" s="2" t="inlineStr">
        <is>
          <t>Région</t>
        </is>
      </c>
      <c r="E3" s="2" t="inlineStr">
        <is>
          <t>Commercial</t>
        </is>
      </c>
      <c r="F3" s="2" t="inlineStr">
        <is>
          <t>Quantité</t>
        </is>
      </c>
      <c r="G3" s="2" t="inlineStr">
        <is>
          <t>Prix unitaire</t>
        </is>
      </c>
      <c r="H3" s="2" t="inlineStr">
        <is>
          <t>Remise</t>
        </is>
      </c>
      <c r="I3" s="2" t="inlineStr">
        <is>
          <t>CA brut</t>
        </is>
      </c>
      <c r="J3" s="2" t="inlineStr">
        <is>
          <t>CA net</t>
        </is>
      </c>
      <c r="L3" s="3" t="inlineStr">
        <is>
          <t>Paramètre</t>
        </is>
      </c>
      <c r="M3" s="3" t="inlineStr">
        <is>
          <t>Valeur</t>
        </is>
      </c>
    </row>
    <row r="4">
      <c r="A4" s="4" t="inlineStr">
        <is>
          <t>2026-01-01</t>
        </is>
      </c>
      <c r="B4" s="4" t="inlineStr">
        <is>
          <t>TX-2026-1001</t>
        </is>
      </c>
      <c r="C4" s="4" t="inlineStr">
        <is>
          <t>Clavier Professionnel</t>
        </is>
      </c>
      <c r="D4" s="4" t="inlineStr">
        <is>
          <t>Nord</t>
        </is>
      </c>
      <c r="E4" s="4" t="inlineStr">
        <is>
          <t>Awa</t>
        </is>
      </c>
      <c r="F4" s="4" t="n">
        <v>4</v>
      </c>
      <c r="G4" s="5" t="n">
        <v>18000</v>
      </c>
      <c r="H4" s="6" t="n">
        <v>0.1</v>
      </c>
      <c r="I4" s="5">
        <f>F4*G4</f>
        <v/>
      </c>
      <c r="J4" s="5">
        <f>I4*(1-H4)</f>
        <v/>
      </c>
      <c r="L4" s="7" t="inlineStr">
        <is>
          <t>Taux TVA</t>
        </is>
      </c>
      <c r="M4" s="8" t="n">
        <v>0.18</v>
      </c>
    </row>
    <row r="5">
      <c r="A5" s="9" t="inlineStr">
        <is>
          <t>2026-01-02</t>
        </is>
      </c>
      <c r="B5" s="9" t="inlineStr">
        <is>
          <t>TX-2026-1002</t>
        </is>
      </c>
      <c r="C5" s="9" t="inlineStr">
        <is>
          <t>Souris Ergonomique</t>
        </is>
      </c>
      <c r="D5" s="9" t="inlineStr">
        <is>
          <t>Sud</t>
        </is>
      </c>
      <c r="E5" s="9" t="inlineStr">
        <is>
          <t>Moussa</t>
        </is>
      </c>
      <c r="F5" s="9" t="n">
        <v>8</v>
      </c>
      <c r="G5" s="10" t="n">
        <v>9000</v>
      </c>
      <c r="H5" s="11" t="n">
        <v>0</v>
      </c>
      <c r="I5" s="10">
        <f>F5*G5</f>
        <v/>
      </c>
      <c r="J5" s="10">
        <f>I5*(1-H5)</f>
        <v/>
      </c>
      <c r="L5" s="7" t="inlineStr">
        <is>
          <t>Objectif mensuel</t>
        </is>
      </c>
      <c r="M5" s="12" t="n">
        <v>5000000</v>
      </c>
    </row>
    <row r="6">
      <c r="A6" s="4" t="inlineStr">
        <is>
          <t>2026-01-03</t>
        </is>
      </c>
      <c r="B6" s="4" t="inlineStr">
        <is>
          <t>TX-2026-1003</t>
        </is>
      </c>
      <c r="C6" s="4" t="inlineStr">
        <is>
          <t>Écran 27 pouces 4K</t>
        </is>
      </c>
      <c r="D6" s="4" t="inlineStr">
        <is>
          <t>Centre</t>
        </is>
      </c>
      <c r="E6" s="4" t="inlineStr">
        <is>
          <t>Idrissa</t>
        </is>
      </c>
      <c r="F6" s="4" t="n">
        <v>1</v>
      </c>
      <c r="G6" s="5" t="n">
        <v>145000</v>
      </c>
      <c r="H6" s="6" t="n">
        <v>0</v>
      </c>
      <c r="I6" s="5">
        <f>F6*G6</f>
        <v/>
      </c>
      <c r="J6" s="5">
        <f>I6*(1-H6)</f>
        <v/>
      </c>
      <c r="L6" s="7" t="inlineStr">
        <is>
          <t>Seuil Alerte</t>
        </is>
      </c>
      <c r="M6" s="12" t="n">
        <v>50000</v>
      </c>
    </row>
    <row r="7">
      <c r="A7" s="9" t="inlineStr">
        <is>
          <t>2026-01-04</t>
        </is>
      </c>
      <c r="B7" s="9" t="inlineStr">
        <is>
          <t>TX-2026-1004</t>
        </is>
      </c>
      <c r="C7" s="9" t="inlineStr">
        <is>
          <t>Casque Réduction Bruit</t>
        </is>
      </c>
      <c r="D7" s="9" t="inlineStr">
        <is>
          <t>Ouest</t>
        </is>
      </c>
      <c r="E7" s="9" t="inlineStr">
        <is>
          <t>Fatou</t>
        </is>
      </c>
      <c r="F7" s="9" t="n">
        <v>4</v>
      </c>
      <c r="G7" s="10" t="n">
        <v>32000</v>
      </c>
      <c r="H7" s="11" t="n">
        <v>0.05</v>
      </c>
      <c r="I7" s="10">
        <f>F7*G7</f>
        <v/>
      </c>
      <c r="J7" s="10">
        <f>I7*(1-H7)</f>
        <v/>
      </c>
      <c r="L7" s="7" t="inlineStr">
        <is>
          <t>Taux Marge Cible</t>
        </is>
      </c>
      <c r="M7" s="8" t="n">
        <v>0.3</v>
      </c>
    </row>
    <row r="8">
      <c r="A8" s="4" t="inlineStr">
        <is>
          <t>2026-01-05</t>
        </is>
      </c>
      <c r="B8" s="4" t="inlineStr">
        <is>
          <t>TX-2026-1005</t>
        </is>
      </c>
      <c r="C8" s="4" t="inlineStr">
        <is>
          <t>Station USB-C Universelle</t>
        </is>
      </c>
      <c r="D8" s="4" t="inlineStr">
        <is>
          <t>Export</t>
        </is>
      </c>
      <c r="E8" s="4" t="inlineStr">
        <is>
          <t>Jean</t>
        </is>
      </c>
      <c r="F8" s="4" t="n">
        <v>5</v>
      </c>
      <c r="G8" s="5" t="n">
        <v>24000</v>
      </c>
      <c r="H8" s="6" t="n">
        <v>0</v>
      </c>
      <c r="I8" s="5">
        <f>F8*G8</f>
        <v/>
      </c>
      <c r="J8" s="5">
        <f>I8*(1-H8)</f>
        <v/>
      </c>
    </row>
    <row r="9">
      <c r="A9" s="9" t="inlineStr">
        <is>
          <t>2026-01-06</t>
        </is>
      </c>
      <c r="B9" s="9" t="inlineStr">
        <is>
          <t>TX-2026-1006</t>
        </is>
      </c>
      <c r="C9" s="9" t="inlineStr">
        <is>
          <t>Support Ventilateur PC</t>
        </is>
      </c>
      <c r="D9" s="9" t="inlineStr">
        <is>
          <t>Nord</t>
        </is>
      </c>
      <c r="E9" s="9" t="inlineStr">
        <is>
          <t>Aminata</t>
        </is>
      </c>
      <c r="F9" s="9" t="n">
        <v>8</v>
      </c>
      <c r="G9" s="10" t="n">
        <v>15000</v>
      </c>
      <c r="H9" s="11" t="n">
        <v>0</v>
      </c>
      <c r="I9" s="10">
        <f>F9*G9</f>
        <v/>
      </c>
      <c r="J9" s="10">
        <f>I9*(1-H9)</f>
        <v/>
      </c>
    </row>
    <row r="10">
      <c r="A10" s="4" t="inlineStr">
        <is>
          <t>2026-01-07</t>
        </is>
      </c>
      <c r="B10" s="4" t="inlineStr">
        <is>
          <t>TX-2026-1007</t>
        </is>
      </c>
      <c r="C10" s="4" t="inlineStr">
        <is>
          <t>Webcam Full HD Pro</t>
        </is>
      </c>
      <c r="D10" s="4" t="inlineStr">
        <is>
          <t>Sud</t>
        </is>
      </c>
      <c r="E10" s="4" t="inlineStr">
        <is>
          <t>Awa</t>
        </is>
      </c>
      <c r="F10" s="4" t="n">
        <v>4</v>
      </c>
      <c r="G10" s="5" t="n">
        <v>42000</v>
      </c>
      <c r="H10" s="6" t="n">
        <v>0.1</v>
      </c>
      <c r="I10" s="5">
        <f>F10*G10</f>
        <v/>
      </c>
      <c r="J10" s="5">
        <f>I10*(1-H10)</f>
        <v/>
      </c>
    </row>
    <row r="11">
      <c r="A11" s="9" t="inlineStr">
        <is>
          <t>2026-01-08</t>
        </is>
      </c>
      <c r="B11" s="9" t="inlineStr">
        <is>
          <t>TX-2026-1008</t>
        </is>
      </c>
      <c r="C11" s="9" t="inlineStr">
        <is>
          <t>Câble HDMI 4K Renforcé</t>
        </is>
      </c>
      <c r="D11" s="9" t="inlineStr">
        <is>
          <t>Centre</t>
        </is>
      </c>
      <c r="E11" s="9" t="inlineStr">
        <is>
          <t>Moussa</t>
        </is>
      </c>
      <c r="F11" s="9" t="n">
        <v>8</v>
      </c>
      <c r="G11" s="10" t="n">
        <v>8000</v>
      </c>
      <c r="H11" s="11" t="n">
        <v>0</v>
      </c>
      <c r="I11" s="10">
        <f>F11*G11</f>
        <v/>
      </c>
      <c r="J11" s="10">
        <f>I11*(1-H11)</f>
        <v/>
      </c>
    </row>
    <row r="12">
      <c r="A12" s="4" t="inlineStr">
        <is>
          <t>2026-01-09</t>
        </is>
      </c>
      <c r="B12" s="4" t="inlineStr">
        <is>
          <t>TX-2026-1009</t>
        </is>
      </c>
      <c r="C12" s="4" t="inlineStr">
        <is>
          <t>Clavier Professionnel</t>
        </is>
      </c>
      <c r="D12" s="4" t="inlineStr">
        <is>
          <t>Ouest</t>
        </is>
      </c>
      <c r="E12" s="4" t="inlineStr">
        <is>
          <t>Idrissa</t>
        </is>
      </c>
      <c r="F12" s="4" t="n">
        <v>2</v>
      </c>
      <c r="G12" s="5" t="n">
        <v>18000</v>
      </c>
      <c r="H12" s="6" t="n">
        <v>0</v>
      </c>
      <c r="I12" s="5">
        <f>F12*G12</f>
        <v/>
      </c>
      <c r="J12" s="5">
        <f>I12*(1-H12)</f>
        <v/>
      </c>
    </row>
    <row r="13">
      <c r="A13" s="9" t="inlineStr">
        <is>
          <t>2026-01-10</t>
        </is>
      </c>
      <c r="B13" s="9" t="inlineStr">
        <is>
          <t>TX-2026-1010</t>
        </is>
      </c>
      <c r="C13" s="9" t="inlineStr">
        <is>
          <t>Souris Ergonomique</t>
        </is>
      </c>
      <c r="D13" s="9" t="inlineStr">
        <is>
          <t>Export</t>
        </is>
      </c>
      <c r="E13" s="9" t="inlineStr">
        <is>
          <t>Fatou</t>
        </is>
      </c>
      <c r="F13" s="9" t="n">
        <v>5</v>
      </c>
      <c r="G13" s="10" t="n">
        <v>9000</v>
      </c>
      <c r="H13" s="11" t="n">
        <v>0.05</v>
      </c>
      <c r="I13" s="10">
        <f>F13*G13</f>
        <v/>
      </c>
      <c r="J13" s="10">
        <f>I13*(1-H13)</f>
        <v/>
      </c>
    </row>
    <row r="14">
      <c r="A14" s="4" t="inlineStr">
        <is>
          <t>2026-01-11</t>
        </is>
      </c>
      <c r="B14" s="4" t="inlineStr">
        <is>
          <t>TX-2026-1011</t>
        </is>
      </c>
      <c r="C14" s="4" t="inlineStr">
        <is>
          <t>Écran 27 pouces 4K</t>
        </is>
      </c>
      <c r="D14" s="4" t="inlineStr">
        <is>
          <t>Nord</t>
        </is>
      </c>
      <c r="E14" s="4" t="inlineStr">
        <is>
          <t>Jean</t>
        </is>
      </c>
      <c r="F14" s="4" t="n">
        <v>3</v>
      </c>
      <c r="G14" s="5" t="n">
        <v>145000</v>
      </c>
      <c r="H14" s="6" t="n">
        <v>0</v>
      </c>
      <c r="I14" s="5">
        <f>F14*G14</f>
        <v/>
      </c>
      <c r="J14" s="5">
        <f>I14*(1-H14)</f>
        <v/>
      </c>
    </row>
    <row r="15">
      <c r="A15" s="9" t="inlineStr">
        <is>
          <t>2026-01-12</t>
        </is>
      </c>
      <c r="B15" s="9" t="inlineStr">
        <is>
          <t>TX-2026-1012</t>
        </is>
      </c>
      <c r="C15" s="9" t="inlineStr">
        <is>
          <t>Casque Réduction Bruit</t>
        </is>
      </c>
      <c r="D15" s="9" t="inlineStr">
        <is>
          <t>Sud</t>
        </is>
      </c>
      <c r="E15" s="9" t="inlineStr">
        <is>
          <t>Aminata</t>
        </is>
      </c>
      <c r="F15" s="9" t="n">
        <v>2</v>
      </c>
      <c r="G15" s="10" t="n">
        <v>32000</v>
      </c>
      <c r="H15" s="11" t="n">
        <v>0</v>
      </c>
      <c r="I15" s="10">
        <f>F15*G15</f>
        <v/>
      </c>
      <c r="J15" s="10">
        <f>I15*(1-H15)</f>
        <v/>
      </c>
    </row>
    <row r="16">
      <c r="A16" s="4" t="inlineStr">
        <is>
          <t>2026-01-13</t>
        </is>
      </c>
      <c r="B16" s="4" t="inlineStr">
        <is>
          <t>TX-2026-1013</t>
        </is>
      </c>
      <c r="C16" s="4" t="inlineStr">
        <is>
          <t>Station USB-C Universelle</t>
        </is>
      </c>
      <c r="D16" s="4" t="inlineStr">
        <is>
          <t>Centre</t>
        </is>
      </c>
      <c r="E16" s="4" t="inlineStr">
        <is>
          <t>Awa</t>
        </is>
      </c>
      <c r="F16" s="4" t="n">
        <v>8</v>
      </c>
      <c r="G16" s="5" t="n">
        <v>24000</v>
      </c>
      <c r="H16" s="6" t="n">
        <v>0.1</v>
      </c>
      <c r="I16" s="5">
        <f>F16*G16</f>
        <v/>
      </c>
      <c r="J16" s="5">
        <f>I16*(1-H16)</f>
        <v/>
      </c>
    </row>
    <row r="17">
      <c r="A17" s="9" t="inlineStr">
        <is>
          <t>2026-01-14</t>
        </is>
      </c>
      <c r="B17" s="9" t="inlineStr">
        <is>
          <t>TX-2026-1014</t>
        </is>
      </c>
      <c r="C17" s="9" t="inlineStr">
        <is>
          <t>Support Ventilateur PC</t>
        </is>
      </c>
      <c r="D17" s="9" t="inlineStr">
        <is>
          <t>Ouest</t>
        </is>
      </c>
      <c r="E17" s="9" t="inlineStr">
        <is>
          <t>Moussa</t>
        </is>
      </c>
      <c r="F17" s="9" t="n">
        <v>4</v>
      </c>
      <c r="G17" s="10" t="n">
        <v>15000</v>
      </c>
      <c r="H17" s="11" t="n">
        <v>0</v>
      </c>
      <c r="I17" s="10">
        <f>F17*G17</f>
        <v/>
      </c>
      <c r="J17" s="10">
        <f>I17*(1-H17)</f>
        <v/>
      </c>
    </row>
    <row r="18">
      <c r="A18" s="4" t="inlineStr">
        <is>
          <t>2026-01-15</t>
        </is>
      </c>
      <c r="B18" s="4" t="inlineStr">
        <is>
          <t>TX-2026-1015</t>
        </is>
      </c>
      <c r="C18" s="4" t="inlineStr">
        <is>
          <t>Webcam Full HD Pro</t>
        </is>
      </c>
      <c r="D18" s="4" t="inlineStr">
        <is>
          <t>Export</t>
        </is>
      </c>
      <c r="E18" s="4" t="inlineStr">
        <is>
          <t>Idrissa</t>
        </is>
      </c>
      <c r="F18" s="4" t="n">
        <v>8</v>
      </c>
      <c r="G18" s="5" t="n">
        <v>42000</v>
      </c>
      <c r="H18" s="6" t="n">
        <v>0</v>
      </c>
      <c r="I18" s="5">
        <f>F18*G18</f>
        <v/>
      </c>
      <c r="J18" s="5">
        <f>I18*(1-H18)</f>
        <v/>
      </c>
    </row>
    <row r="19">
      <c r="A19" s="9" t="inlineStr">
        <is>
          <t>2026-01-16</t>
        </is>
      </c>
      <c r="B19" s="9" t="inlineStr">
        <is>
          <t>TX-2026-1016</t>
        </is>
      </c>
      <c r="C19" s="9" t="inlineStr">
        <is>
          <t>Câble HDMI 4K Renforcé</t>
        </is>
      </c>
      <c r="D19" s="9" t="inlineStr">
        <is>
          <t>Nord</t>
        </is>
      </c>
      <c r="E19" s="9" t="inlineStr">
        <is>
          <t>Fatou</t>
        </is>
      </c>
      <c r="F19" s="9" t="n">
        <v>6</v>
      </c>
      <c r="G19" s="10" t="n">
        <v>8000</v>
      </c>
      <c r="H19" s="11" t="n">
        <v>0.05</v>
      </c>
      <c r="I19" s="10">
        <f>F19*G19</f>
        <v/>
      </c>
      <c r="J19" s="10">
        <f>I19*(1-H19)</f>
        <v/>
      </c>
    </row>
    <row r="20">
      <c r="A20" s="4" t="inlineStr">
        <is>
          <t>2026-01-17</t>
        </is>
      </c>
      <c r="B20" s="4" t="inlineStr">
        <is>
          <t>TX-2026-1017</t>
        </is>
      </c>
      <c r="C20" s="4" t="inlineStr">
        <is>
          <t>Clavier Professionnel</t>
        </is>
      </c>
      <c r="D20" s="4" t="inlineStr">
        <is>
          <t>Sud</t>
        </is>
      </c>
      <c r="E20" s="4" t="inlineStr">
        <is>
          <t>Jean</t>
        </is>
      </c>
      <c r="F20" s="4" t="n">
        <v>7</v>
      </c>
      <c r="G20" s="5" t="n">
        <v>18000</v>
      </c>
      <c r="H20" s="6" t="n">
        <v>0</v>
      </c>
      <c r="I20" s="5">
        <f>F20*G20</f>
        <v/>
      </c>
      <c r="J20" s="5">
        <f>I20*(1-H20)</f>
        <v/>
      </c>
    </row>
    <row r="21">
      <c r="A21" s="9" t="inlineStr">
        <is>
          <t>2026-01-18</t>
        </is>
      </c>
      <c r="B21" s="9" t="inlineStr">
        <is>
          <t>TX-2026-1018</t>
        </is>
      </c>
      <c r="C21" s="9" t="inlineStr">
        <is>
          <t>Souris Ergonomique</t>
        </is>
      </c>
      <c r="D21" s="9" t="inlineStr">
        <is>
          <t>Centre</t>
        </is>
      </c>
      <c r="E21" s="9" t="inlineStr">
        <is>
          <t>Aminata</t>
        </is>
      </c>
      <c r="F21" s="9" t="n">
        <v>7</v>
      </c>
      <c r="G21" s="10" t="n">
        <v>9000</v>
      </c>
      <c r="H21" s="11" t="n">
        <v>0</v>
      </c>
      <c r="I21" s="10">
        <f>F21*G21</f>
        <v/>
      </c>
      <c r="J21" s="10">
        <f>I21*(1-H21)</f>
        <v/>
      </c>
    </row>
    <row r="22">
      <c r="A22" s="4" t="inlineStr">
        <is>
          <t>2026-01-19</t>
        </is>
      </c>
      <c r="B22" s="4" t="inlineStr">
        <is>
          <t>TX-2026-1019</t>
        </is>
      </c>
      <c r="C22" s="4" t="inlineStr">
        <is>
          <t>Écran 27 pouces 4K</t>
        </is>
      </c>
      <c r="D22" s="4" t="inlineStr">
        <is>
          <t>Ouest</t>
        </is>
      </c>
      <c r="E22" s="4" t="inlineStr">
        <is>
          <t>Awa</t>
        </is>
      </c>
      <c r="F22" s="4" t="n">
        <v>4</v>
      </c>
      <c r="G22" s="5" t="n">
        <v>145000</v>
      </c>
      <c r="H22" s="6" t="n">
        <v>0</v>
      </c>
      <c r="I22" s="5">
        <f>F22*G22</f>
        <v/>
      </c>
      <c r="J22" s="5">
        <f>I22*(1-H22)</f>
        <v/>
      </c>
    </row>
    <row r="23">
      <c r="A23" s="9" t="inlineStr">
        <is>
          <t>2026-01-20</t>
        </is>
      </c>
      <c r="B23" s="9" t="inlineStr">
        <is>
          <t>TX-2026-1020</t>
        </is>
      </c>
      <c r="C23" s="9" t="inlineStr">
        <is>
          <t>Casque Réduction Bruit</t>
        </is>
      </c>
      <c r="D23" s="9" t="inlineStr">
        <is>
          <t>Export</t>
        </is>
      </c>
      <c r="E23" s="9" t="inlineStr">
        <is>
          <t>Moussa</t>
        </is>
      </c>
      <c r="F23" s="9" t="n">
        <v>7</v>
      </c>
      <c r="G23" s="10" t="n">
        <v>32000</v>
      </c>
      <c r="H23" s="11" t="n">
        <v>0</v>
      </c>
      <c r="I23" s="10">
        <f>F23*G23</f>
        <v/>
      </c>
      <c r="J23" s="10">
        <f>I23*(1-H23)</f>
        <v/>
      </c>
    </row>
    <row r="24">
      <c r="A24" s="4" t="inlineStr">
        <is>
          <t>2026-01-21</t>
        </is>
      </c>
      <c r="B24" s="4" t="inlineStr">
        <is>
          <t>TX-2026-1021</t>
        </is>
      </c>
      <c r="C24" s="4" t="inlineStr">
        <is>
          <t>Station USB-C Universelle</t>
        </is>
      </c>
      <c r="D24" s="4" t="inlineStr">
        <is>
          <t>Nord</t>
        </is>
      </c>
      <c r="E24" s="4" t="inlineStr">
        <is>
          <t>Idrissa</t>
        </is>
      </c>
      <c r="F24" s="4" t="n">
        <v>8</v>
      </c>
      <c r="G24" s="5" t="n">
        <v>24000</v>
      </c>
      <c r="H24" s="6" t="n">
        <v>0</v>
      </c>
      <c r="I24" s="5">
        <f>F24*G24</f>
        <v/>
      </c>
      <c r="J24" s="5">
        <f>I24*(1-H24)</f>
        <v/>
      </c>
    </row>
    <row r="25">
      <c r="A25" s="9" t="inlineStr">
        <is>
          <t>2026-01-22</t>
        </is>
      </c>
      <c r="B25" s="9" t="inlineStr">
        <is>
          <t>TX-2026-1022</t>
        </is>
      </c>
      <c r="C25" s="9" t="inlineStr">
        <is>
          <t>Support Ventilateur PC</t>
        </is>
      </c>
      <c r="D25" s="9" t="inlineStr">
        <is>
          <t>Sud</t>
        </is>
      </c>
      <c r="E25" s="9" t="inlineStr">
        <is>
          <t>Fatou</t>
        </is>
      </c>
      <c r="F25" s="9" t="n">
        <v>5</v>
      </c>
      <c r="G25" s="10" t="n">
        <v>15000</v>
      </c>
      <c r="H25" s="11" t="n">
        <v>0.05</v>
      </c>
      <c r="I25" s="10">
        <f>F25*G25</f>
        <v/>
      </c>
      <c r="J25" s="10">
        <f>I25*(1-H25)</f>
        <v/>
      </c>
    </row>
    <row r="26">
      <c r="A26" s="4" t="inlineStr">
        <is>
          <t>2026-01-23</t>
        </is>
      </c>
      <c r="B26" s="4" t="inlineStr">
        <is>
          <t>TX-2026-1023</t>
        </is>
      </c>
      <c r="C26" s="4" t="inlineStr">
        <is>
          <t>Webcam Full HD Pro</t>
        </is>
      </c>
      <c r="D26" s="4" t="inlineStr">
        <is>
          <t>Centre</t>
        </is>
      </c>
      <c r="E26" s="4" t="inlineStr">
        <is>
          <t>Jean</t>
        </is>
      </c>
      <c r="F26" s="4" t="n">
        <v>2</v>
      </c>
      <c r="G26" s="5" t="n">
        <v>42000</v>
      </c>
      <c r="H26" s="6" t="n">
        <v>0</v>
      </c>
      <c r="I26" s="5">
        <f>F26*G26</f>
        <v/>
      </c>
      <c r="J26" s="5">
        <f>I26*(1-H26)</f>
        <v/>
      </c>
    </row>
    <row r="27">
      <c r="A27" s="9" t="inlineStr">
        <is>
          <t>2026-01-24</t>
        </is>
      </c>
      <c r="B27" s="9" t="inlineStr">
        <is>
          <t>TX-2026-1024</t>
        </is>
      </c>
      <c r="C27" s="9" t="inlineStr">
        <is>
          <t>Câble HDMI 4K Renforcé</t>
        </is>
      </c>
      <c r="D27" s="9" t="inlineStr">
        <is>
          <t>Ouest</t>
        </is>
      </c>
      <c r="E27" s="9" t="inlineStr">
        <is>
          <t>Aminata</t>
        </is>
      </c>
      <c r="F27" s="9" t="n">
        <v>6</v>
      </c>
      <c r="G27" s="10" t="n">
        <v>8000</v>
      </c>
      <c r="H27" s="11" t="n">
        <v>0</v>
      </c>
      <c r="I27" s="10">
        <f>F27*G27</f>
        <v/>
      </c>
      <c r="J27" s="10">
        <f>I27*(1-H27)</f>
        <v/>
      </c>
    </row>
    <row r="28">
      <c r="A28" s="4" t="inlineStr">
        <is>
          <t>2026-01-25</t>
        </is>
      </c>
      <c r="B28" s="4" t="inlineStr">
        <is>
          <t>TX-2026-1025</t>
        </is>
      </c>
      <c r="C28" s="4" t="inlineStr">
        <is>
          <t>Clavier Professionnel</t>
        </is>
      </c>
      <c r="D28" s="4" t="inlineStr">
        <is>
          <t>Export</t>
        </is>
      </c>
      <c r="E28" s="4" t="inlineStr">
        <is>
          <t>Awa</t>
        </is>
      </c>
      <c r="F28" s="4" t="n">
        <v>5</v>
      </c>
      <c r="G28" s="5" t="n">
        <v>18000</v>
      </c>
      <c r="H28" s="6" t="n">
        <v>0.15</v>
      </c>
      <c r="I28" s="5">
        <f>F28*G28</f>
        <v/>
      </c>
      <c r="J28" s="5">
        <f>I28*(1-H28)</f>
        <v/>
      </c>
    </row>
    <row r="29">
      <c r="A29" s="9" t="inlineStr">
        <is>
          <t>2026-01-26</t>
        </is>
      </c>
      <c r="B29" s="9" t="inlineStr">
        <is>
          <t>TX-2026-1026</t>
        </is>
      </c>
      <c r="C29" s="9" t="inlineStr">
        <is>
          <t>Souris Ergonomique</t>
        </is>
      </c>
      <c r="D29" s="9" t="inlineStr">
        <is>
          <t>Nord</t>
        </is>
      </c>
      <c r="E29" s="9" t="inlineStr">
        <is>
          <t>Moussa</t>
        </is>
      </c>
      <c r="F29" s="9" t="n">
        <v>7</v>
      </c>
      <c r="G29" s="10" t="n">
        <v>9000</v>
      </c>
      <c r="H29" s="11" t="n">
        <v>0</v>
      </c>
      <c r="I29" s="10">
        <f>F29*G29</f>
        <v/>
      </c>
      <c r="J29" s="10">
        <f>I29*(1-H29)</f>
        <v/>
      </c>
    </row>
    <row r="30">
      <c r="A30" s="4" t="inlineStr">
        <is>
          <t>2026-01-27</t>
        </is>
      </c>
      <c r="B30" s="4" t="inlineStr">
        <is>
          <t>TX-2026-1027</t>
        </is>
      </c>
      <c r="C30" s="4" t="inlineStr">
        <is>
          <t>Écran 27 pouces 4K</t>
        </is>
      </c>
      <c r="D30" s="4" t="inlineStr">
        <is>
          <t>Sud</t>
        </is>
      </c>
      <c r="E30" s="4" t="inlineStr">
        <is>
          <t>Idrissa</t>
        </is>
      </c>
      <c r="F30" s="4" t="n">
        <v>4</v>
      </c>
      <c r="G30" s="5" t="n">
        <v>145000</v>
      </c>
      <c r="H30" s="6" t="n">
        <v>0</v>
      </c>
      <c r="I30" s="5">
        <f>F30*G30</f>
        <v/>
      </c>
      <c r="J30" s="5">
        <f>I30*(1-H30)</f>
        <v/>
      </c>
    </row>
    <row r="31">
      <c r="A31" s="9" t="inlineStr">
        <is>
          <t>2026-01-28</t>
        </is>
      </c>
      <c r="B31" s="9" t="inlineStr">
        <is>
          <t>TX-2026-1028</t>
        </is>
      </c>
      <c r="C31" s="9" t="inlineStr">
        <is>
          <t>Casque Réduction Bruit</t>
        </is>
      </c>
      <c r="D31" s="9" t="inlineStr">
        <is>
          <t>Centre</t>
        </is>
      </c>
      <c r="E31" s="9" t="inlineStr">
        <is>
          <t>Fatou</t>
        </is>
      </c>
      <c r="F31" s="9" t="n">
        <v>7</v>
      </c>
      <c r="G31" s="10" t="n">
        <v>32000</v>
      </c>
      <c r="H31" s="11" t="n">
        <v>0</v>
      </c>
      <c r="I31" s="10">
        <f>F31*G31</f>
        <v/>
      </c>
      <c r="J31" s="10">
        <f>I31*(1-H31)</f>
        <v/>
      </c>
    </row>
    <row r="32">
      <c r="A32" s="4" t="inlineStr">
        <is>
          <t>2026-01-01</t>
        </is>
      </c>
      <c r="B32" s="4" t="inlineStr">
        <is>
          <t>TX-2026-1029</t>
        </is>
      </c>
      <c r="C32" s="4" t="inlineStr">
        <is>
          <t>Station USB-C Universelle</t>
        </is>
      </c>
      <c r="D32" s="4" t="inlineStr">
        <is>
          <t>Ouest</t>
        </is>
      </c>
      <c r="E32" s="4" t="inlineStr">
        <is>
          <t>Jean</t>
        </is>
      </c>
      <c r="F32" s="4" t="n">
        <v>7</v>
      </c>
      <c r="G32" s="5" t="n">
        <v>24000</v>
      </c>
      <c r="H32" s="6" t="n">
        <v>0</v>
      </c>
      <c r="I32" s="5">
        <f>F32*G32</f>
        <v/>
      </c>
      <c r="J32" s="5">
        <f>I32*(1-H32)</f>
        <v/>
      </c>
    </row>
    <row r="33">
      <c r="A33" s="9" t="inlineStr">
        <is>
          <t>2026-01-02</t>
        </is>
      </c>
      <c r="B33" s="9" t="inlineStr">
        <is>
          <t>TX-2026-1030</t>
        </is>
      </c>
      <c r="C33" s="9" t="inlineStr">
        <is>
          <t>Support Ventilateur PC</t>
        </is>
      </c>
      <c r="D33" s="9" t="inlineStr">
        <is>
          <t>Export</t>
        </is>
      </c>
      <c r="E33" s="9" t="inlineStr">
        <is>
          <t>Aminata</t>
        </is>
      </c>
      <c r="F33" s="9" t="n">
        <v>7</v>
      </c>
      <c r="G33" s="10" t="n">
        <v>15000</v>
      </c>
      <c r="H33" s="11" t="n">
        <v>0</v>
      </c>
      <c r="I33" s="10">
        <f>F33*G33</f>
        <v/>
      </c>
      <c r="J33" s="10">
        <f>I33*(1-H33)</f>
        <v/>
      </c>
    </row>
    <row r="34">
      <c r="A34" s="4" t="inlineStr">
        <is>
          <t>2026-01-03</t>
        </is>
      </c>
      <c r="B34" s="4" t="inlineStr">
        <is>
          <t>TX-2026-1031</t>
        </is>
      </c>
      <c r="C34" s="4" t="inlineStr">
        <is>
          <t>Webcam Full HD Pro</t>
        </is>
      </c>
      <c r="D34" s="4" t="inlineStr">
        <is>
          <t>Nord</t>
        </is>
      </c>
      <c r="E34" s="4" t="inlineStr">
        <is>
          <t>Awa</t>
        </is>
      </c>
      <c r="F34" s="4" t="n">
        <v>1</v>
      </c>
      <c r="G34" s="5" t="n">
        <v>42000</v>
      </c>
      <c r="H34" s="6" t="n">
        <v>0.15</v>
      </c>
      <c r="I34" s="5">
        <f>F34*G34</f>
        <v/>
      </c>
      <c r="J34" s="5">
        <f>I34*(1-H34)</f>
        <v/>
      </c>
    </row>
    <row r="35">
      <c r="A35" s="9" t="inlineStr">
        <is>
          <t>2026-01-04</t>
        </is>
      </c>
      <c r="B35" s="9" t="inlineStr">
        <is>
          <t>TX-2026-1032</t>
        </is>
      </c>
      <c r="C35" s="9" t="inlineStr">
        <is>
          <t>Câble HDMI 4K Renforcé</t>
        </is>
      </c>
      <c r="D35" s="9" t="inlineStr">
        <is>
          <t>Sud</t>
        </is>
      </c>
      <c r="E35" s="9" t="inlineStr">
        <is>
          <t>Moussa</t>
        </is>
      </c>
      <c r="F35" s="9" t="n">
        <v>4</v>
      </c>
      <c r="G35" s="10" t="n">
        <v>8000</v>
      </c>
      <c r="H35" s="11" t="n">
        <v>0</v>
      </c>
      <c r="I35" s="10">
        <f>F35*G35</f>
        <v/>
      </c>
      <c r="J35" s="10">
        <f>I35*(1-H35)</f>
        <v/>
      </c>
    </row>
    <row r="36">
      <c r="A36" s="4" t="inlineStr">
        <is>
          <t>2026-01-05</t>
        </is>
      </c>
      <c r="B36" s="4" t="inlineStr">
        <is>
          <t>TX-2026-1033</t>
        </is>
      </c>
      <c r="C36" s="4" t="inlineStr">
        <is>
          <t>Clavier Professionnel</t>
        </is>
      </c>
      <c r="D36" s="4" t="inlineStr">
        <is>
          <t>Centre</t>
        </is>
      </c>
      <c r="E36" s="4" t="inlineStr">
        <is>
          <t>Idrissa</t>
        </is>
      </c>
      <c r="F36" s="4" t="n">
        <v>2</v>
      </c>
      <c r="G36" s="5" t="n">
        <v>18000</v>
      </c>
      <c r="H36" s="6" t="n">
        <v>0</v>
      </c>
      <c r="I36" s="5">
        <f>F36*G36</f>
        <v/>
      </c>
      <c r="J36" s="5">
        <f>I36*(1-H36)</f>
        <v/>
      </c>
    </row>
    <row r="37">
      <c r="A37" s="9" t="inlineStr">
        <is>
          <t>2026-01-06</t>
        </is>
      </c>
      <c r="B37" s="9" t="inlineStr">
        <is>
          <t>TX-2026-1034</t>
        </is>
      </c>
      <c r="C37" s="9" t="inlineStr">
        <is>
          <t>Souris Ergonomique</t>
        </is>
      </c>
      <c r="D37" s="9" t="inlineStr">
        <is>
          <t>Ouest</t>
        </is>
      </c>
      <c r="E37" s="9" t="inlineStr">
        <is>
          <t>Fatou</t>
        </is>
      </c>
      <c r="F37" s="9" t="n">
        <v>6</v>
      </c>
      <c r="G37" s="10" t="n">
        <v>9000</v>
      </c>
      <c r="H37" s="11" t="n">
        <v>0</v>
      </c>
      <c r="I37" s="10">
        <f>F37*G37</f>
        <v/>
      </c>
      <c r="J37" s="10">
        <f>I37*(1-H37)</f>
        <v/>
      </c>
    </row>
    <row r="38">
      <c r="A38" s="4" t="inlineStr">
        <is>
          <t>2026-01-07</t>
        </is>
      </c>
      <c r="B38" s="4" t="inlineStr">
        <is>
          <t>TX-2026-1035</t>
        </is>
      </c>
      <c r="C38" s="4" t="inlineStr">
        <is>
          <t>Écran 27 pouces 4K</t>
        </is>
      </c>
      <c r="D38" s="4" t="inlineStr">
        <is>
          <t>Export</t>
        </is>
      </c>
      <c r="E38" s="4" t="inlineStr">
        <is>
          <t>Jean</t>
        </is>
      </c>
      <c r="F38" s="4" t="n">
        <v>6</v>
      </c>
      <c r="G38" s="5" t="n">
        <v>145000</v>
      </c>
      <c r="H38" s="6" t="n">
        <v>0</v>
      </c>
      <c r="I38" s="5">
        <f>F38*G38</f>
        <v/>
      </c>
      <c r="J38" s="5">
        <f>I38*(1-H38)</f>
        <v/>
      </c>
    </row>
    <row r="39">
      <c r="A39" s="9" t="inlineStr">
        <is>
          <t>2026-01-08</t>
        </is>
      </c>
      <c r="B39" s="9" t="inlineStr">
        <is>
          <t>TX-2026-1036</t>
        </is>
      </c>
      <c r="C39" s="9" t="inlineStr">
        <is>
          <t>Casque Réduction Bruit</t>
        </is>
      </c>
      <c r="D39" s="9" t="inlineStr">
        <is>
          <t>Nord</t>
        </is>
      </c>
      <c r="E39" s="9" t="inlineStr">
        <is>
          <t>Aminata</t>
        </is>
      </c>
      <c r="F39" s="9" t="n">
        <v>6</v>
      </c>
      <c r="G39" s="10" t="n">
        <v>32000</v>
      </c>
      <c r="H39" s="11" t="n">
        <v>0</v>
      </c>
      <c r="I39" s="10">
        <f>F39*G39</f>
        <v/>
      </c>
      <c r="J39" s="10">
        <f>I39*(1-H39)</f>
        <v/>
      </c>
    </row>
    <row r="40">
      <c r="A40" s="4" t="inlineStr">
        <is>
          <t>2026-01-09</t>
        </is>
      </c>
      <c r="B40" s="4" t="inlineStr">
        <is>
          <t>TX-2026-1037</t>
        </is>
      </c>
      <c r="C40" s="4" t="inlineStr">
        <is>
          <t>Station USB-C Universelle</t>
        </is>
      </c>
      <c r="D40" s="4" t="inlineStr">
        <is>
          <t>Sud</t>
        </is>
      </c>
      <c r="E40" s="4" t="inlineStr">
        <is>
          <t>Awa</t>
        </is>
      </c>
      <c r="F40" s="4" t="n">
        <v>1</v>
      </c>
      <c r="G40" s="5" t="n">
        <v>24000</v>
      </c>
      <c r="H40" s="6" t="n">
        <v>0.1</v>
      </c>
      <c r="I40" s="5">
        <f>F40*G40</f>
        <v/>
      </c>
      <c r="J40" s="5">
        <f>I40*(1-H40)</f>
        <v/>
      </c>
    </row>
    <row r="41">
      <c r="A41" s="9" t="inlineStr">
        <is>
          <t>2026-01-10</t>
        </is>
      </c>
      <c r="B41" s="9" t="inlineStr">
        <is>
          <t>TX-2026-1038</t>
        </is>
      </c>
      <c r="C41" s="9" t="inlineStr">
        <is>
          <t>Support Ventilateur PC</t>
        </is>
      </c>
      <c r="D41" s="9" t="inlineStr">
        <is>
          <t>Centre</t>
        </is>
      </c>
      <c r="E41" s="9" t="inlineStr">
        <is>
          <t>Moussa</t>
        </is>
      </c>
      <c r="F41" s="9" t="n">
        <v>3</v>
      </c>
      <c r="G41" s="10" t="n">
        <v>15000</v>
      </c>
      <c r="H41" s="11" t="n">
        <v>0</v>
      </c>
      <c r="I41" s="10">
        <f>F41*G41</f>
        <v/>
      </c>
      <c r="J41" s="10">
        <f>I41*(1-H41)</f>
        <v/>
      </c>
    </row>
    <row r="42">
      <c r="A42" s="4" t="inlineStr">
        <is>
          <t>2026-01-11</t>
        </is>
      </c>
      <c r="B42" s="4" t="inlineStr">
        <is>
          <t>TX-2026-1039</t>
        </is>
      </c>
      <c r="C42" s="4" t="inlineStr">
        <is>
          <t>Webcam Full HD Pro</t>
        </is>
      </c>
      <c r="D42" s="4" t="inlineStr">
        <is>
          <t>Ouest</t>
        </is>
      </c>
      <c r="E42" s="4" t="inlineStr">
        <is>
          <t>Idrissa</t>
        </is>
      </c>
      <c r="F42" s="4" t="n">
        <v>1</v>
      </c>
      <c r="G42" s="5" t="n">
        <v>42000</v>
      </c>
      <c r="H42" s="6" t="n">
        <v>0</v>
      </c>
      <c r="I42" s="5">
        <f>F42*G42</f>
        <v/>
      </c>
      <c r="J42" s="5">
        <f>I42*(1-H42)</f>
        <v/>
      </c>
    </row>
    <row r="43">
      <c r="A43" s="9" t="inlineStr">
        <is>
          <t>2026-01-12</t>
        </is>
      </c>
      <c r="B43" s="9" t="inlineStr">
        <is>
          <t>TX-2026-1040</t>
        </is>
      </c>
      <c r="C43" s="9" t="inlineStr">
        <is>
          <t>Câble HDMI 4K Renforcé</t>
        </is>
      </c>
      <c r="D43" s="9" t="inlineStr">
        <is>
          <t>Export</t>
        </is>
      </c>
      <c r="E43" s="9" t="inlineStr">
        <is>
          <t>Fatou</t>
        </is>
      </c>
      <c r="F43" s="9" t="n">
        <v>7</v>
      </c>
      <c r="G43" s="10" t="n">
        <v>8000</v>
      </c>
      <c r="H43" s="11" t="n">
        <v>0.05</v>
      </c>
      <c r="I43" s="10">
        <f>F43*G43</f>
        <v/>
      </c>
      <c r="J43" s="10">
        <f>I43*(1-H43)</f>
        <v/>
      </c>
    </row>
    <row r="44">
      <c r="A44" s="4" t="inlineStr">
        <is>
          <t>2026-01-13</t>
        </is>
      </c>
      <c r="B44" s="4" t="inlineStr">
        <is>
          <t>TX-2026-1041</t>
        </is>
      </c>
      <c r="C44" s="4" t="inlineStr">
        <is>
          <t>Clavier Professionnel</t>
        </is>
      </c>
      <c r="D44" s="4" t="inlineStr">
        <is>
          <t>Nord</t>
        </is>
      </c>
      <c r="E44" s="4" t="inlineStr">
        <is>
          <t>Jean</t>
        </is>
      </c>
      <c r="F44" s="4" t="n">
        <v>5</v>
      </c>
      <c r="G44" s="5" t="n">
        <v>18000</v>
      </c>
      <c r="H44" s="6" t="n">
        <v>0</v>
      </c>
      <c r="I44" s="5">
        <f>F44*G44</f>
        <v/>
      </c>
      <c r="J44" s="5">
        <f>I44*(1-H44)</f>
        <v/>
      </c>
    </row>
    <row r="45">
      <c r="A45" s="9" t="inlineStr">
        <is>
          <t>2026-01-14</t>
        </is>
      </c>
      <c r="B45" s="9" t="inlineStr">
        <is>
          <t>TX-2026-1042</t>
        </is>
      </c>
      <c r="C45" s="9" t="inlineStr">
        <is>
          <t>Souris Ergonomique</t>
        </is>
      </c>
      <c r="D45" s="9" t="inlineStr">
        <is>
          <t>Sud</t>
        </is>
      </c>
      <c r="E45" s="9" t="inlineStr">
        <is>
          <t>Aminata</t>
        </is>
      </c>
      <c r="F45" s="9" t="n">
        <v>2</v>
      </c>
      <c r="G45" s="10" t="n">
        <v>9000</v>
      </c>
      <c r="H45" s="11" t="n">
        <v>0</v>
      </c>
      <c r="I45" s="10">
        <f>F45*G45</f>
        <v/>
      </c>
      <c r="J45" s="10">
        <f>I45*(1-H45)</f>
        <v/>
      </c>
    </row>
    <row r="46">
      <c r="A46" s="4" t="inlineStr">
        <is>
          <t>2026-01-15</t>
        </is>
      </c>
      <c r="B46" s="4" t="inlineStr">
        <is>
          <t>TX-2026-1043</t>
        </is>
      </c>
      <c r="C46" s="4" t="inlineStr">
        <is>
          <t>Écran 27 pouces 4K</t>
        </is>
      </c>
      <c r="D46" s="4" t="inlineStr">
        <is>
          <t>Centre</t>
        </is>
      </c>
      <c r="E46" s="4" t="inlineStr">
        <is>
          <t>Awa</t>
        </is>
      </c>
      <c r="F46" s="4" t="n">
        <v>3</v>
      </c>
      <c r="G46" s="5" t="n">
        <v>145000</v>
      </c>
      <c r="H46" s="6" t="n">
        <v>0.15</v>
      </c>
      <c r="I46" s="5">
        <f>F46*G46</f>
        <v/>
      </c>
      <c r="J46" s="5">
        <f>I46*(1-H46)</f>
        <v/>
      </c>
    </row>
    <row r="47">
      <c r="A47" s="9" t="inlineStr">
        <is>
          <t>2026-01-16</t>
        </is>
      </c>
      <c r="B47" s="9" t="inlineStr">
        <is>
          <t>TX-2026-1044</t>
        </is>
      </c>
      <c r="C47" s="9" t="inlineStr">
        <is>
          <t>Casque Réduction Bruit</t>
        </is>
      </c>
      <c r="D47" s="9" t="inlineStr">
        <is>
          <t>Ouest</t>
        </is>
      </c>
      <c r="E47" s="9" t="inlineStr">
        <is>
          <t>Moussa</t>
        </is>
      </c>
      <c r="F47" s="9" t="n">
        <v>6</v>
      </c>
      <c r="G47" s="10" t="n">
        <v>32000</v>
      </c>
      <c r="H47" s="11" t="n">
        <v>0</v>
      </c>
      <c r="I47" s="10">
        <f>F47*G47</f>
        <v/>
      </c>
      <c r="J47" s="10">
        <f>I47*(1-H47)</f>
        <v/>
      </c>
    </row>
    <row r="48">
      <c r="A48" s="4" t="inlineStr">
        <is>
          <t>2026-01-17</t>
        </is>
      </c>
      <c r="B48" s="4" t="inlineStr">
        <is>
          <t>TX-2026-1045</t>
        </is>
      </c>
      <c r="C48" s="4" t="inlineStr">
        <is>
          <t>Station USB-C Universelle</t>
        </is>
      </c>
      <c r="D48" s="4" t="inlineStr">
        <is>
          <t>Export</t>
        </is>
      </c>
      <c r="E48" s="4" t="inlineStr">
        <is>
          <t>Idrissa</t>
        </is>
      </c>
      <c r="F48" s="4" t="n">
        <v>8</v>
      </c>
      <c r="G48" s="5" t="n">
        <v>24000</v>
      </c>
      <c r="H48" s="6" t="n">
        <v>0</v>
      </c>
      <c r="I48" s="5">
        <f>F48*G48</f>
        <v/>
      </c>
      <c r="J48" s="5">
        <f>I48*(1-H48)</f>
        <v/>
      </c>
    </row>
    <row r="49">
      <c r="A49" s="9" t="inlineStr">
        <is>
          <t>2026-01-18</t>
        </is>
      </c>
      <c r="B49" s="9" t="inlineStr">
        <is>
          <t>TX-2026-1046</t>
        </is>
      </c>
      <c r="C49" s="9" t="inlineStr">
        <is>
          <t>Support Ventilateur PC</t>
        </is>
      </c>
      <c r="D49" s="9" t="inlineStr">
        <is>
          <t>Nord</t>
        </is>
      </c>
      <c r="E49" s="9" t="inlineStr">
        <is>
          <t>Fatou</t>
        </is>
      </c>
      <c r="F49" s="9" t="n">
        <v>3</v>
      </c>
      <c r="G49" s="10" t="n">
        <v>15000</v>
      </c>
      <c r="H49" s="11" t="n">
        <v>0.15</v>
      </c>
      <c r="I49" s="10">
        <f>F49*G49</f>
        <v/>
      </c>
      <c r="J49" s="10">
        <f>I49*(1-H49)</f>
        <v/>
      </c>
    </row>
    <row r="50">
      <c r="A50" s="4" t="inlineStr">
        <is>
          <t>2026-01-19</t>
        </is>
      </c>
      <c r="B50" s="4" t="inlineStr">
        <is>
          <t>TX-2026-1047</t>
        </is>
      </c>
      <c r="C50" s="4" t="inlineStr">
        <is>
          <t>Webcam Full HD Pro</t>
        </is>
      </c>
      <c r="D50" s="4" t="inlineStr">
        <is>
          <t>Sud</t>
        </is>
      </c>
      <c r="E50" s="4" t="inlineStr">
        <is>
          <t>Jean</t>
        </is>
      </c>
      <c r="F50" s="4" t="n">
        <v>5</v>
      </c>
      <c r="G50" s="5" t="n">
        <v>42000</v>
      </c>
      <c r="H50" s="6" t="n">
        <v>0</v>
      </c>
      <c r="I50" s="5">
        <f>F50*G50</f>
        <v/>
      </c>
      <c r="J50" s="5">
        <f>I50*(1-H50)</f>
        <v/>
      </c>
    </row>
    <row r="51">
      <c r="A51" s="9" t="inlineStr">
        <is>
          <t>2026-01-20</t>
        </is>
      </c>
      <c r="B51" s="9" t="inlineStr">
        <is>
          <t>TX-2026-1048</t>
        </is>
      </c>
      <c r="C51" s="9" t="inlineStr">
        <is>
          <t>Câble HDMI 4K Renforcé</t>
        </is>
      </c>
      <c r="D51" s="9" t="inlineStr">
        <is>
          <t>Centre</t>
        </is>
      </c>
      <c r="E51" s="9" t="inlineStr">
        <is>
          <t>Aminata</t>
        </is>
      </c>
      <c r="F51" s="9" t="n">
        <v>3</v>
      </c>
      <c r="G51" s="10" t="n">
        <v>8000</v>
      </c>
      <c r="H51" s="11" t="n">
        <v>0</v>
      </c>
      <c r="I51" s="10">
        <f>F51*G51</f>
        <v/>
      </c>
      <c r="J51" s="10">
        <f>I51*(1-H51)</f>
        <v/>
      </c>
    </row>
    <row r="52">
      <c r="A52" s="4" t="inlineStr">
        <is>
          <t>2026-01-21</t>
        </is>
      </c>
      <c r="B52" s="4" t="inlineStr">
        <is>
          <t>TX-2026-1049</t>
        </is>
      </c>
      <c r="C52" s="4" t="inlineStr">
        <is>
          <t>Clavier Professionnel</t>
        </is>
      </c>
      <c r="D52" s="4" t="inlineStr">
        <is>
          <t>Ouest</t>
        </is>
      </c>
      <c r="E52" s="4" t="inlineStr">
        <is>
          <t>Awa</t>
        </is>
      </c>
      <c r="F52" s="4" t="n">
        <v>1</v>
      </c>
      <c r="G52" s="5" t="n">
        <v>18000</v>
      </c>
      <c r="H52" s="6" t="n">
        <v>0</v>
      </c>
      <c r="I52" s="5">
        <f>F52*G52</f>
        <v/>
      </c>
      <c r="J52" s="5">
        <f>I52*(1-H52)</f>
        <v/>
      </c>
    </row>
    <row r="53">
      <c r="A53" s="9" t="inlineStr">
        <is>
          <t>2026-01-22</t>
        </is>
      </c>
      <c r="B53" s="9" t="inlineStr">
        <is>
          <t>TX-2026-1050</t>
        </is>
      </c>
      <c r="C53" s="9" t="inlineStr">
        <is>
          <t>Souris Ergonomique</t>
        </is>
      </c>
      <c r="D53" s="9" t="inlineStr">
        <is>
          <t>Export</t>
        </is>
      </c>
      <c r="E53" s="9" t="inlineStr">
        <is>
          <t>Moussa</t>
        </is>
      </c>
      <c r="F53" s="9" t="n">
        <v>2</v>
      </c>
      <c r="G53" s="10" t="n">
        <v>9000</v>
      </c>
      <c r="H53" s="11" t="n">
        <v>0</v>
      </c>
      <c r="I53" s="10">
        <f>F53*G53</f>
        <v/>
      </c>
      <c r="J53" s="10">
        <f>I53*(1-H53)</f>
        <v/>
      </c>
    </row>
    <row r="54">
      <c r="A54" s="4" t="inlineStr">
        <is>
          <t>2026-01-23</t>
        </is>
      </c>
      <c r="B54" s="4" t="inlineStr">
        <is>
          <t>TX-2026-1051</t>
        </is>
      </c>
      <c r="C54" s="4" t="inlineStr">
        <is>
          <t>Écran 27 pouces 4K</t>
        </is>
      </c>
      <c r="D54" s="4" t="inlineStr">
        <is>
          <t>Nord</t>
        </is>
      </c>
      <c r="E54" s="4" t="inlineStr">
        <is>
          <t>Idrissa</t>
        </is>
      </c>
      <c r="F54" s="4" t="n">
        <v>1</v>
      </c>
      <c r="G54" s="5" t="n">
        <v>145000</v>
      </c>
      <c r="H54" s="6" t="n">
        <v>0</v>
      </c>
      <c r="I54" s="5">
        <f>F54*G54</f>
        <v/>
      </c>
      <c r="J54" s="5">
        <f>I54*(1-H54)</f>
        <v/>
      </c>
    </row>
    <row r="55">
      <c r="A55" s="9" t="inlineStr">
        <is>
          <t>2026-01-24</t>
        </is>
      </c>
      <c r="B55" s="9" t="inlineStr">
        <is>
          <t>TX-2026-1052</t>
        </is>
      </c>
      <c r="C55" s="9" t="inlineStr">
        <is>
          <t>Casque Réduction Bruit</t>
        </is>
      </c>
      <c r="D55" s="9" t="inlineStr">
        <is>
          <t>Sud</t>
        </is>
      </c>
      <c r="E55" s="9" t="inlineStr">
        <is>
          <t>Fatou</t>
        </is>
      </c>
      <c r="F55" s="9" t="n">
        <v>6</v>
      </c>
      <c r="G55" s="10" t="n">
        <v>32000</v>
      </c>
      <c r="H55" s="11" t="n">
        <v>0.15</v>
      </c>
      <c r="I55" s="10">
        <f>F55*G55</f>
        <v/>
      </c>
      <c r="J55" s="10">
        <f>I55*(1-H55)</f>
        <v/>
      </c>
    </row>
    <row r="56">
      <c r="A56" s="4" t="inlineStr">
        <is>
          <t>2026-01-25</t>
        </is>
      </c>
      <c r="B56" s="4" t="inlineStr">
        <is>
          <t>TX-2026-1053</t>
        </is>
      </c>
      <c r="C56" s="4" t="inlineStr">
        <is>
          <t>Station USB-C Universelle</t>
        </is>
      </c>
      <c r="D56" s="4" t="inlineStr">
        <is>
          <t>Centre</t>
        </is>
      </c>
      <c r="E56" s="4" t="inlineStr">
        <is>
          <t>Jean</t>
        </is>
      </c>
      <c r="F56" s="4" t="n">
        <v>2</v>
      </c>
      <c r="G56" s="5" t="n">
        <v>24000</v>
      </c>
      <c r="H56" s="6" t="n">
        <v>0</v>
      </c>
      <c r="I56" s="5">
        <f>F56*G56</f>
        <v/>
      </c>
      <c r="J56" s="5">
        <f>I56*(1-H56)</f>
        <v/>
      </c>
    </row>
    <row r="57">
      <c r="A57" s="9" t="inlineStr">
        <is>
          <t>2026-01-26</t>
        </is>
      </c>
      <c r="B57" s="9" t="inlineStr">
        <is>
          <t>TX-2026-1054</t>
        </is>
      </c>
      <c r="C57" s="9" t="inlineStr">
        <is>
          <t>Support Ventilateur PC</t>
        </is>
      </c>
      <c r="D57" s="9" t="inlineStr">
        <is>
          <t>Ouest</t>
        </is>
      </c>
      <c r="E57" s="9" t="inlineStr">
        <is>
          <t>Aminata</t>
        </is>
      </c>
      <c r="F57" s="9" t="n">
        <v>8</v>
      </c>
      <c r="G57" s="10" t="n">
        <v>15000</v>
      </c>
      <c r="H57" s="11" t="n">
        <v>0</v>
      </c>
      <c r="I57" s="10">
        <f>F57*G57</f>
        <v/>
      </c>
      <c r="J57" s="10">
        <f>I57*(1-H57)</f>
        <v/>
      </c>
    </row>
    <row r="58">
      <c r="A58" s="4" t="inlineStr">
        <is>
          <t>2026-01-27</t>
        </is>
      </c>
      <c r="B58" s="4" t="inlineStr">
        <is>
          <t>TX-2026-1055</t>
        </is>
      </c>
      <c r="C58" s="4" t="inlineStr">
        <is>
          <t>Webcam Full HD Pro</t>
        </is>
      </c>
      <c r="D58" s="4" t="inlineStr">
        <is>
          <t>Export</t>
        </is>
      </c>
      <c r="E58" s="4" t="inlineStr">
        <is>
          <t>Awa</t>
        </is>
      </c>
      <c r="F58" s="4" t="n">
        <v>3</v>
      </c>
      <c r="G58" s="5" t="n">
        <v>42000</v>
      </c>
      <c r="H58" s="6" t="n">
        <v>0.05</v>
      </c>
      <c r="I58" s="5">
        <f>F58*G58</f>
        <v/>
      </c>
      <c r="J58" s="5">
        <f>I58*(1-H58)</f>
        <v/>
      </c>
    </row>
    <row r="59">
      <c r="A59" s="9" t="inlineStr">
        <is>
          <t>2026-01-28</t>
        </is>
      </c>
      <c r="B59" s="9" t="inlineStr">
        <is>
          <t>TX-2026-1056</t>
        </is>
      </c>
      <c r="C59" s="9" t="inlineStr">
        <is>
          <t>Câble HDMI 4K Renforcé</t>
        </is>
      </c>
      <c r="D59" s="9" t="inlineStr">
        <is>
          <t>Nord</t>
        </is>
      </c>
      <c r="E59" s="9" t="inlineStr">
        <is>
          <t>Moussa</t>
        </is>
      </c>
      <c r="F59" s="9" t="n">
        <v>4</v>
      </c>
      <c r="G59" s="10" t="n">
        <v>8000</v>
      </c>
      <c r="H59" s="11" t="n">
        <v>0</v>
      </c>
      <c r="I59" s="10">
        <f>F59*G59</f>
        <v/>
      </c>
      <c r="J59" s="10">
        <f>I59*(1-H59)</f>
        <v/>
      </c>
    </row>
    <row r="60">
      <c r="A60" s="4" t="inlineStr">
        <is>
          <t>2026-01-01</t>
        </is>
      </c>
      <c r="B60" s="4" t="inlineStr">
        <is>
          <t>TX-2026-1057</t>
        </is>
      </c>
      <c r="C60" s="4" t="inlineStr">
        <is>
          <t>Clavier Professionnel</t>
        </is>
      </c>
      <c r="D60" s="4" t="inlineStr">
        <is>
          <t>Sud</t>
        </is>
      </c>
      <c r="E60" s="4" t="inlineStr">
        <is>
          <t>Idrissa</t>
        </is>
      </c>
      <c r="F60" s="4" t="n">
        <v>8</v>
      </c>
      <c r="G60" s="5" t="n">
        <v>18000</v>
      </c>
      <c r="H60" s="6" t="n">
        <v>0</v>
      </c>
      <c r="I60" s="5">
        <f>F60*G60</f>
        <v/>
      </c>
      <c r="J60" s="5">
        <f>I60*(1-H60)</f>
        <v/>
      </c>
    </row>
    <row r="61">
      <c r="A61" s="9" t="inlineStr">
        <is>
          <t>2026-01-02</t>
        </is>
      </c>
      <c r="B61" s="9" t="inlineStr">
        <is>
          <t>TX-2026-1058</t>
        </is>
      </c>
      <c r="C61" s="9" t="inlineStr">
        <is>
          <t>Souris Ergonomique</t>
        </is>
      </c>
      <c r="D61" s="9" t="inlineStr">
        <is>
          <t>Centre</t>
        </is>
      </c>
      <c r="E61" s="9" t="inlineStr">
        <is>
          <t>Fatou</t>
        </is>
      </c>
      <c r="F61" s="9" t="n">
        <v>3</v>
      </c>
      <c r="G61" s="10" t="n">
        <v>9000</v>
      </c>
      <c r="H61" s="11" t="n">
        <v>0</v>
      </c>
      <c r="I61" s="10">
        <f>F61*G61</f>
        <v/>
      </c>
      <c r="J61" s="10">
        <f>I61*(1-H61)</f>
        <v/>
      </c>
    </row>
    <row r="62">
      <c r="A62" s="4" t="inlineStr">
        <is>
          <t>2026-01-03</t>
        </is>
      </c>
      <c r="B62" s="4" t="inlineStr">
        <is>
          <t>TX-2026-1059</t>
        </is>
      </c>
      <c r="C62" s="4" t="inlineStr">
        <is>
          <t>Écran 27 pouces 4K</t>
        </is>
      </c>
      <c r="D62" s="4" t="inlineStr">
        <is>
          <t>Ouest</t>
        </is>
      </c>
      <c r="E62" s="4" t="inlineStr">
        <is>
          <t>Jean</t>
        </is>
      </c>
      <c r="F62" s="4" t="n">
        <v>3</v>
      </c>
      <c r="G62" s="5" t="n">
        <v>145000</v>
      </c>
      <c r="H62" s="6" t="n">
        <v>0</v>
      </c>
      <c r="I62" s="5">
        <f>F62*G62</f>
        <v/>
      </c>
      <c r="J62" s="5">
        <f>I62*(1-H62)</f>
        <v/>
      </c>
    </row>
    <row r="63">
      <c r="A63" s="9" t="inlineStr">
        <is>
          <t>2026-01-04</t>
        </is>
      </c>
      <c r="B63" s="9" t="inlineStr">
        <is>
          <t>TX-2026-1060</t>
        </is>
      </c>
      <c r="C63" s="9" t="inlineStr">
        <is>
          <t>Casque Réduction Bruit</t>
        </is>
      </c>
      <c r="D63" s="9" t="inlineStr">
        <is>
          <t>Export</t>
        </is>
      </c>
      <c r="E63" s="9" t="inlineStr">
        <is>
          <t>Aminata</t>
        </is>
      </c>
      <c r="F63" s="9" t="n">
        <v>5</v>
      </c>
      <c r="G63" s="10" t="n">
        <v>32000</v>
      </c>
      <c r="H63" s="11" t="n">
        <v>0</v>
      </c>
      <c r="I63" s="10">
        <f>F63*G63</f>
        <v/>
      </c>
      <c r="J63" s="10">
        <f>I63*(1-H63)</f>
        <v/>
      </c>
    </row>
    <row r="64">
      <c r="A64" s="4" t="inlineStr">
        <is>
          <t>2026-01-05</t>
        </is>
      </c>
      <c r="B64" s="4" t="inlineStr">
        <is>
          <t>TX-2026-1061</t>
        </is>
      </c>
      <c r="C64" s="4" t="inlineStr">
        <is>
          <t>Station USB-C Universelle</t>
        </is>
      </c>
      <c r="D64" s="4" t="inlineStr">
        <is>
          <t>Nord</t>
        </is>
      </c>
      <c r="E64" s="4" t="inlineStr">
        <is>
          <t>Awa</t>
        </is>
      </c>
      <c r="F64" s="4" t="n">
        <v>6</v>
      </c>
      <c r="G64" s="5" t="n">
        <v>24000</v>
      </c>
      <c r="H64" s="6" t="n">
        <v>0.15</v>
      </c>
      <c r="I64" s="5">
        <f>F64*G64</f>
        <v/>
      </c>
      <c r="J64" s="5">
        <f>I64*(1-H64)</f>
        <v/>
      </c>
    </row>
    <row r="65">
      <c r="A65" s="9" t="inlineStr">
        <is>
          <t>2026-01-06</t>
        </is>
      </c>
      <c r="B65" s="9" t="inlineStr">
        <is>
          <t>TX-2026-1062</t>
        </is>
      </c>
      <c r="C65" s="9" t="inlineStr">
        <is>
          <t>Support Ventilateur PC</t>
        </is>
      </c>
      <c r="D65" s="9" t="inlineStr">
        <is>
          <t>Sud</t>
        </is>
      </c>
      <c r="E65" s="9" t="inlineStr">
        <is>
          <t>Moussa</t>
        </is>
      </c>
      <c r="F65" s="9" t="n">
        <v>2</v>
      </c>
      <c r="G65" s="10" t="n">
        <v>15000</v>
      </c>
      <c r="H65" s="11" t="n">
        <v>0</v>
      </c>
      <c r="I65" s="10">
        <f>F65*G65</f>
        <v/>
      </c>
      <c r="J65" s="10">
        <f>I65*(1-H65)</f>
        <v/>
      </c>
    </row>
    <row r="66">
      <c r="A66" s="4" t="inlineStr">
        <is>
          <t>2026-01-07</t>
        </is>
      </c>
      <c r="B66" s="4" t="inlineStr">
        <is>
          <t>TX-2026-1063</t>
        </is>
      </c>
      <c r="C66" s="4" t="inlineStr">
        <is>
          <t>Webcam Full HD Pro</t>
        </is>
      </c>
      <c r="D66" s="4" t="inlineStr">
        <is>
          <t>Centre</t>
        </is>
      </c>
      <c r="E66" s="4" t="inlineStr">
        <is>
          <t>Idrissa</t>
        </is>
      </c>
      <c r="F66" s="4" t="n">
        <v>1</v>
      </c>
      <c r="G66" s="5" t="n">
        <v>42000</v>
      </c>
      <c r="H66" s="6" t="n">
        <v>0</v>
      </c>
      <c r="I66" s="5">
        <f>F66*G66</f>
        <v/>
      </c>
      <c r="J66" s="5">
        <f>I66*(1-H66)</f>
        <v/>
      </c>
    </row>
    <row r="67">
      <c r="A67" s="9" t="inlineStr">
        <is>
          <t>2026-01-08</t>
        </is>
      </c>
      <c r="B67" s="9" t="inlineStr">
        <is>
          <t>TX-2026-1064</t>
        </is>
      </c>
      <c r="C67" s="9" t="inlineStr">
        <is>
          <t>Câble HDMI 4K Renforcé</t>
        </is>
      </c>
      <c r="D67" s="9" t="inlineStr">
        <is>
          <t>Ouest</t>
        </is>
      </c>
      <c r="E67" s="9" t="inlineStr">
        <is>
          <t>Fatou</t>
        </is>
      </c>
      <c r="F67" s="9" t="n">
        <v>6</v>
      </c>
      <c r="G67" s="10" t="n">
        <v>8000</v>
      </c>
      <c r="H67" s="11" t="n">
        <v>0.15</v>
      </c>
      <c r="I67" s="10">
        <f>F67*G67</f>
        <v/>
      </c>
      <c r="J67" s="10">
        <f>I67*(1-H67)</f>
        <v/>
      </c>
    </row>
    <row r="68">
      <c r="A68" s="4" t="inlineStr">
        <is>
          <t>2026-01-09</t>
        </is>
      </c>
      <c r="B68" s="4" t="inlineStr">
        <is>
          <t>TX-2026-1065</t>
        </is>
      </c>
      <c r="C68" s="4" t="inlineStr">
        <is>
          <t>Clavier Professionnel</t>
        </is>
      </c>
      <c r="D68" s="4" t="inlineStr">
        <is>
          <t>Export</t>
        </is>
      </c>
      <c r="E68" s="4" t="inlineStr">
        <is>
          <t>Jean</t>
        </is>
      </c>
      <c r="F68" s="4" t="n">
        <v>1</v>
      </c>
      <c r="G68" s="5" t="n">
        <v>18000</v>
      </c>
      <c r="H68" s="6" t="n">
        <v>0</v>
      </c>
      <c r="I68" s="5">
        <f>F68*G68</f>
        <v/>
      </c>
      <c r="J68" s="5">
        <f>I68*(1-H68)</f>
        <v/>
      </c>
    </row>
    <row r="69">
      <c r="A69" s="9" t="inlineStr">
        <is>
          <t>2026-01-10</t>
        </is>
      </c>
      <c r="B69" s="9" t="inlineStr">
        <is>
          <t>TX-2026-1066</t>
        </is>
      </c>
      <c r="C69" s="9" t="inlineStr">
        <is>
          <t>Souris Ergonomique</t>
        </is>
      </c>
      <c r="D69" s="9" t="inlineStr">
        <is>
          <t>Nord</t>
        </is>
      </c>
      <c r="E69" s="9" t="inlineStr">
        <is>
          <t>Aminata</t>
        </is>
      </c>
      <c r="F69" s="9" t="n">
        <v>4</v>
      </c>
      <c r="G69" s="10" t="n">
        <v>9000</v>
      </c>
      <c r="H69" s="11" t="n">
        <v>0</v>
      </c>
      <c r="I69" s="10">
        <f>F69*G69</f>
        <v/>
      </c>
      <c r="J69" s="10">
        <f>I69*(1-H69)</f>
        <v/>
      </c>
    </row>
    <row r="70">
      <c r="A70" s="4" t="inlineStr">
        <is>
          <t>2026-01-11</t>
        </is>
      </c>
      <c r="B70" s="4" t="inlineStr">
        <is>
          <t>TX-2026-1067</t>
        </is>
      </c>
      <c r="C70" s="4" t="inlineStr">
        <is>
          <t>Écran 27 pouces 4K</t>
        </is>
      </c>
      <c r="D70" s="4" t="inlineStr">
        <is>
          <t>Sud</t>
        </is>
      </c>
      <c r="E70" s="4" t="inlineStr">
        <is>
          <t>Awa</t>
        </is>
      </c>
      <c r="F70" s="4" t="n">
        <v>5</v>
      </c>
      <c r="G70" s="5" t="n">
        <v>145000</v>
      </c>
      <c r="H70" s="6" t="n">
        <v>0.1</v>
      </c>
      <c r="I70" s="5">
        <f>F70*G70</f>
        <v/>
      </c>
      <c r="J70" s="5">
        <f>I70*(1-H70)</f>
        <v/>
      </c>
    </row>
    <row r="71">
      <c r="A71" s="9" t="inlineStr">
        <is>
          <t>2026-01-12</t>
        </is>
      </c>
      <c r="B71" s="9" t="inlineStr">
        <is>
          <t>TX-2026-1068</t>
        </is>
      </c>
      <c r="C71" s="9" t="inlineStr">
        <is>
          <t>Casque Réduction Bruit</t>
        </is>
      </c>
      <c r="D71" s="9" t="inlineStr">
        <is>
          <t>Centre</t>
        </is>
      </c>
      <c r="E71" s="9" t="inlineStr">
        <is>
          <t>Moussa</t>
        </is>
      </c>
      <c r="F71" s="9" t="n">
        <v>2</v>
      </c>
      <c r="G71" s="10" t="n">
        <v>32000</v>
      </c>
      <c r="H71" s="11" t="n">
        <v>0</v>
      </c>
      <c r="I71" s="10">
        <f>F71*G71</f>
        <v/>
      </c>
      <c r="J71" s="10">
        <f>I71*(1-H71)</f>
        <v/>
      </c>
    </row>
    <row r="72">
      <c r="A72" s="4" t="inlineStr">
        <is>
          <t>2026-01-13</t>
        </is>
      </c>
      <c r="B72" s="4" t="inlineStr">
        <is>
          <t>TX-2026-1069</t>
        </is>
      </c>
      <c r="C72" s="4" t="inlineStr">
        <is>
          <t>Station USB-C Universelle</t>
        </is>
      </c>
      <c r="D72" s="4" t="inlineStr">
        <is>
          <t>Ouest</t>
        </is>
      </c>
      <c r="E72" s="4" t="inlineStr">
        <is>
          <t>Idrissa</t>
        </is>
      </c>
      <c r="F72" s="4" t="n">
        <v>5</v>
      </c>
      <c r="G72" s="5" t="n">
        <v>24000</v>
      </c>
      <c r="H72" s="6" t="n">
        <v>0</v>
      </c>
      <c r="I72" s="5">
        <f>F72*G72</f>
        <v/>
      </c>
      <c r="J72" s="5">
        <f>I72*(1-H72)</f>
        <v/>
      </c>
    </row>
    <row r="73">
      <c r="A73" s="9" t="inlineStr">
        <is>
          <t>2026-01-14</t>
        </is>
      </c>
      <c r="B73" s="9" t="inlineStr">
        <is>
          <t>TX-2026-1070</t>
        </is>
      </c>
      <c r="C73" s="9" t="inlineStr">
        <is>
          <t>Support Ventilateur PC</t>
        </is>
      </c>
      <c r="D73" s="9" t="inlineStr">
        <is>
          <t>Export</t>
        </is>
      </c>
      <c r="E73" s="9" t="inlineStr">
        <is>
          <t>Fatou</t>
        </is>
      </c>
      <c r="F73" s="9" t="n">
        <v>3</v>
      </c>
      <c r="G73" s="10" t="n">
        <v>15000</v>
      </c>
      <c r="H73" s="11" t="n">
        <v>0.1</v>
      </c>
      <c r="I73" s="10">
        <f>F73*G73</f>
        <v/>
      </c>
      <c r="J73" s="10">
        <f>I73*(1-H73)</f>
        <v/>
      </c>
    </row>
    <row r="74">
      <c r="A74" s="4" t="inlineStr">
        <is>
          <t>2026-01-15</t>
        </is>
      </c>
      <c r="B74" s="4" t="inlineStr">
        <is>
          <t>TX-2026-1071</t>
        </is>
      </c>
      <c r="C74" s="4" t="inlineStr">
        <is>
          <t>Webcam Full HD Pro</t>
        </is>
      </c>
      <c r="D74" s="4" t="inlineStr">
        <is>
          <t>Nord</t>
        </is>
      </c>
      <c r="E74" s="4" t="inlineStr">
        <is>
          <t>Jean</t>
        </is>
      </c>
      <c r="F74" s="4" t="n">
        <v>8</v>
      </c>
      <c r="G74" s="5" t="n">
        <v>42000</v>
      </c>
      <c r="H74" s="6" t="n">
        <v>0</v>
      </c>
      <c r="I74" s="5">
        <f>F74*G74</f>
        <v/>
      </c>
      <c r="J74" s="5">
        <f>I74*(1-H74)</f>
        <v/>
      </c>
    </row>
    <row r="75">
      <c r="A75" s="9" t="inlineStr">
        <is>
          <t>2026-01-16</t>
        </is>
      </c>
      <c r="B75" s="9" t="inlineStr">
        <is>
          <t>TX-2026-1072</t>
        </is>
      </c>
      <c r="C75" s="9" t="inlineStr">
        <is>
          <t>Câble HDMI 4K Renforcé</t>
        </is>
      </c>
      <c r="D75" s="9" t="inlineStr">
        <is>
          <t>Sud</t>
        </is>
      </c>
      <c r="E75" s="9" t="inlineStr">
        <is>
          <t>Aminata</t>
        </is>
      </c>
      <c r="F75" s="9" t="n">
        <v>4</v>
      </c>
      <c r="G75" s="10" t="n">
        <v>8000</v>
      </c>
      <c r="H75" s="11" t="n">
        <v>0</v>
      </c>
      <c r="I75" s="10">
        <f>F75*G75</f>
        <v/>
      </c>
      <c r="J75" s="10">
        <f>I75*(1-H75)</f>
        <v/>
      </c>
    </row>
    <row r="76">
      <c r="A76" s="4" t="inlineStr">
        <is>
          <t>2026-01-17</t>
        </is>
      </c>
      <c r="B76" s="4" t="inlineStr">
        <is>
          <t>TX-2026-1073</t>
        </is>
      </c>
      <c r="C76" s="4" t="inlineStr">
        <is>
          <t>Clavier Professionnel</t>
        </is>
      </c>
      <c r="D76" s="4" t="inlineStr">
        <is>
          <t>Centre</t>
        </is>
      </c>
      <c r="E76" s="4" t="inlineStr">
        <is>
          <t>Awa</t>
        </is>
      </c>
      <c r="F76" s="4" t="n">
        <v>7</v>
      </c>
      <c r="G76" s="5" t="n">
        <v>18000</v>
      </c>
      <c r="H76" s="6" t="n">
        <v>0</v>
      </c>
      <c r="I76" s="5">
        <f>F76*G76</f>
        <v/>
      </c>
      <c r="J76" s="5">
        <f>I76*(1-H76)</f>
        <v/>
      </c>
    </row>
    <row r="77">
      <c r="A77" s="9" t="inlineStr">
        <is>
          <t>2026-01-18</t>
        </is>
      </c>
      <c r="B77" s="9" t="inlineStr">
        <is>
          <t>TX-2026-1074</t>
        </is>
      </c>
      <c r="C77" s="9" t="inlineStr">
        <is>
          <t>Souris Ergonomique</t>
        </is>
      </c>
      <c r="D77" s="9" t="inlineStr">
        <is>
          <t>Ouest</t>
        </is>
      </c>
      <c r="E77" s="9" t="inlineStr">
        <is>
          <t>Moussa</t>
        </is>
      </c>
      <c r="F77" s="9" t="n">
        <v>6</v>
      </c>
      <c r="G77" s="10" t="n">
        <v>9000</v>
      </c>
      <c r="H77" s="11" t="n">
        <v>0</v>
      </c>
      <c r="I77" s="10">
        <f>F77*G77</f>
        <v/>
      </c>
      <c r="J77" s="10">
        <f>I77*(1-H77)</f>
        <v/>
      </c>
    </row>
    <row r="78">
      <c r="A78" s="4" t="inlineStr">
        <is>
          <t>2026-01-19</t>
        </is>
      </c>
      <c r="B78" s="4" t="inlineStr">
        <is>
          <t>TX-2026-1075</t>
        </is>
      </c>
      <c r="C78" s="4" t="inlineStr">
        <is>
          <t>Écran 27 pouces 4K</t>
        </is>
      </c>
      <c r="D78" s="4" t="inlineStr">
        <is>
          <t>Export</t>
        </is>
      </c>
      <c r="E78" s="4" t="inlineStr">
        <is>
          <t>Idrissa</t>
        </is>
      </c>
      <c r="F78" s="4" t="n">
        <v>4</v>
      </c>
      <c r="G78" s="5" t="n">
        <v>145000</v>
      </c>
      <c r="H78" s="6" t="n">
        <v>0</v>
      </c>
      <c r="I78" s="5">
        <f>F78*G78</f>
        <v/>
      </c>
      <c r="J78" s="5">
        <f>I78*(1-H78)</f>
        <v/>
      </c>
    </row>
    <row r="79">
      <c r="A79" s="9" t="inlineStr">
        <is>
          <t>2026-01-20</t>
        </is>
      </c>
      <c r="B79" s="9" t="inlineStr">
        <is>
          <t>TX-2026-1076</t>
        </is>
      </c>
      <c r="C79" s="9" t="inlineStr">
        <is>
          <t>Casque Réduction Bruit</t>
        </is>
      </c>
      <c r="D79" s="9" t="inlineStr">
        <is>
          <t>Nord</t>
        </is>
      </c>
      <c r="E79" s="9" t="inlineStr">
        <is>
          <t>Fatou</t>
        </is>
      </c>
      <c r="F79" s="9" t="n">
        <v>2</v>
      </c>
      <c r="G79" s="10" t="n">
        <v>32000</v>
      </c>
      <c r="H79" s="11" t="n">
        <v>0.1</v>
      </c>
      <c r="I79" s="10">
        <f>F79*G79</f>
        <v/>
      </c>
      <c r="J79" s="10">
        <f>I79*(1-H79)</f>
        <v/>
      </c>
    </row>
    <row r="80">
      <c r="A80" s="4" t="inlineStr">
        <is>
          <t>2026-01-21</t>
        </is>
      </c>
      <c r="B80" s="4" t="inlineStr">
        <is>
          <t>TX-2026-1077</t>
        </is>
      </c>
      <c r="C80" s="4" t="inlineStr">
        <is>
          <t>Station USB-C Universelle</t>
        </is>
      </c>
      <c r="D80" s="4" t="inlineStr">
        <is>
          <t>Sud</t>
        </is>
      </c>
      <c r="E80" s="4" t="inlineStr">
        <is>
          <t>Jean</t>
        </is>
      </c>
      <c r="F80" s="4" t="n">
        <v>3</v>
      </c>
      <c r="G80" s="5" t="n">
        <v>24000</v>
      </c>
      <c r="H80" s="6" t="n">
        <v>0</v>
      </c>
      <c r="I80" s="5">
        <f>F80*G80</f>
        <v/>
      </c>
      <c r="J80" s="5">
        <f>I80*(1-H80)</f>
        <v/>
      </c>
    </row>
    <row r="81">
      <c r="A81" s="9" t="inlineStr">
        <is>
          <t>2026-01-22</t>
        </is>
      </c>
      <c r="B81" s="9" t="inlineStr">
        <is>
          <t>TX-2026-1078</t>
        </is>
      </c>
      <c r="C81" s="9" t="inlineStr">
        <is>
          <t>Support Ventilateur PC</t>
        </is>
      </c>
      <c r="D81" s="9" t="inlineStr">
        <is>
          <t>Centre</t>
        </is>
      </c>
      <c r="E81" s="9" t="inlineStr">
        <is>
          <t>Aminata</t>
        </is>
      </c>
      <c r="F81" s="9" t="n">
        <v>1</v>
      </c>
      <c r="G81" s="10" t="n">
        <v>15000</v>
      </c>
      <c r="H81" s="11" t="n">
        <v>0</v>
      </c>
      <c r="I81" s="10">
        <f>F81*G81</f>
        <v/>
      </c>
      <c r="J81" s="10">
        <f>I81*(1-H81)</f>
        <v/>
      </c>
    </row>
    <row r="82">
      <c r="A82" s="4" t="inlineStr">
        <is>
          <t>2026-01-23</t>
        </is>
      </c>
      <c r="B82" s="4" t="inlineStr">
        <is>
          <t>TX-2026-1079</t>
        </is>
      </c>
      <c r="C82" s="4" t="inlineStr">
        <is>
          <t>Webcam Full HD Pro</t>
        </is>
      </c>
      <c r="D82" s="4" t="inlineStr">
        <is>
          <t>Ouest</t>
        </is>
      </c>
      <c r="E82" s="4" t="inlineStr">
        <is>
          <t>Awa</t>
        </is>
      </c>
      <c r="F82" s="4" t="n">
        <v>1</v>
      </c>
      <c r="G82" s="5" t="n">
        <v>42000</v>
      </c>
      <c r="H82" s="6" t="n">
        <v>0.15</v>
      </c>
      <c r="I82" s="5">
        <f>F82*G82</f>
        <v/>
      </c>
      <c r="J82" s="5">
        <f>I82*(1-H82)</f>
        <v/>
      </c>
    </row>
    <row r="83">
      <c r="A83" s="9" t="inlineStr">
        <is>
          <t>2026-01-24</t>
        </is>
      </c>
      <c r="B83" s="9" t="inlineStr">
        <is>
          <t>TX-2026-1080</t>
        </is>
      </c>
      <c r="C83" s="9" t="inlineStr">
        <is>
          <t>Câble HDMI 4K Renforcé</t>
        </is>
      </c>
      <c r="D83" s="9" t="inlineStr">
        <is>
          <t>Export</t>
        </is>
      </c>
      <c r="E83" s="9" t="inlineStr">
        <is>
          <t>Moussa</t>
        </is>
      </c>
      <c r="F83" s="9" t="n">
        <v>8</v>
      </c>
      <c r="G83" s="10" t="n">
        <v>8000</v>
      </c>
      <c r="H83" s="11" t="n">
        <v>0</v>
      </c>
      <c r="I83" s="10">
        <f>F83*G83</f>
        <v/>
      </c>
      <c r="J83" s="10">
        <f>I83*(1-H83)</f>
        <v/>
      </c>
    </row>
    <row r="84">
      <c r="A84" s="13" t="inlineStr">
        <is>
          <t>TOTAL CONSOLIDÉ</t>
        </is>
      </c>
      <c r="B84" s="13" t="n"/>
      <c r="C84" s="13" t="n"/>
      <c r="D84" s="13" t="n"/>
      <c r="E84" s="13" t="n"/>
      <c r="F84" s="13">
        <f>SUM(F4:F83)</f>
        <v/>
      </c>
      <c r="G84" s="13" t="n"/>
      <c r="H84" s="13" t="n"/>
      <c r="I84" s="14">
        <f>SUM(I4:I83)</f>
        <v/>
      </c>
      <c r="J84" s="14">
        <f>SUM(J4:J83)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2026-10-10T16:06:15Z</dcterms:created>
  <dcterms:modified xmlns:dcterms="http://purl.org/dc/terms/" xmlns:xsi="http://www.w3.org/2001/XMLSchema-instance" xsi:type="dcterms:W3CDTF">2026-10-10T16:06:15Z</dcterms:modified>
</cp:coreProperties>
</file>